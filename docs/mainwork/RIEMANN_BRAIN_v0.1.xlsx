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HIS WORDS FIRST" sheetId="2" state="visible" r:id="rId2"/>
    <sheet xmlns:r="http://schemas.openxmlformats.org/officeDocument/2006/relationships" name="BRAIN 80 CONTAINERS" sheetId="3" state="visible" r:id="rId3"/>
    <sheet xmlns:r="http://schemas.openxmlformats.org/officeDocument/2006/relationships" name="HIS PARAMETERS" sheetId="4" state="visible" r:id="rId4"/>
    <sheet xmlns:r="http://schemas.openxmlformats.org/officeDocument/2006/relationships" name="FILTERS 40" sheetId="5" state="visible" r:id="rId5"/>
    <sheet xmlns:r="http://schemas.openxmlformats.org/officeDocument/2006/relationships" name="STUCK &amp; DELIVER" sheetId="6" state="visible" r:id="rId6"/>
    <sheet xmlns:r="http://schemas.openxmlformats.org/officeDocument/2006/relationships" name="45 RERUN" sheetId="7" state="visible" r:id="rId7"/>
    <sheet xmlns:r="http://schemas.openxmlformats.org/officeDocument/2006/relationships" name="NEW PARAM CANDIDATES" sheetId="8" state="visible" r:id="rId8"/>
    <sheet xmlns:r="http://schemas.openxmlformats.org/officeDocument/2006/relationships" name="HALT-GAP to OWNER"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color rgb="00FFFFFF"/>
      <sz val="10"/>
    </font>
    <font>
      <name val="Arial"/>
      <i val="1"/>
      <sz val="9"/>
    </font>
  </fonts>
  <fills count="5">
    <fill>
      <patternFill/>
    </fill>
    <fill>
      <patternFill patternType="gray125"/>
    </fill>
    <fill>
      <patternFill patternType="solid">
        <fgColor rgb="001F3864"/>
      </patternFill>
    </fill>
    <fill>
      <patternFill patternType="solid">
        <fgColor rgb="00D6DCE5"/>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xf numFmtId="0" fontId="1" fillId="3" borderId="1" applyAlignment="1" pivotButton="0" quotePrefix="0" xfId="0">
      <alignment vertical="top" wrapText="1"/>
    </xf>
    <xf numFmtId="0" fontId="0" fillId="0" borderId="1" pivotButton="0" quotePrefix="0" xfId="0"/>
    <xf numFmtId="0" fontId="0" fillId="0" borderId="4" pivotButton="0" quotePrefix="0" xfId="0"/>
    <xf numFmtId="0" fontId="0" fillId="0" borderId="5" pivotButton="0" quotePrefix="0" xfId="0"/>
    <xf numFmtId="0" fontId="2" fillId="4" borderId="1" applyAlignment="1" pivotButton="0" quotePrefix="0" xfId="0">
      <alignment vertical="top" wrapText="1"/>
    </xf>
    <xf numFmtId="0" fontId="1"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130" customWidth="1" min="1" max="1"/>
    <col width="14" customWidth="1" min="2" max="2"/>
    <col width="6" customWidth="1" min="3" max="3"/>
    <col width="50" customWidth="1" min="4" max="4"/>
  </cols>
  <sheetData>
    <row r="1">
      <c r="A1" s="1" t="inlineStr">
        <is>
          <t>RIEMANN BRAIN v0.1 - the owner's platform (10 segments / 80 containers / 2,560 sub-parameters / 40 filters / 12 states / H0-H6 evidence / 20 failure classes) superimposed on Bernhard Riemann (1826-1866). Purpose per the owner: superimpose to KNOW the human working style - not to copy his frame back to him.</t>
        </is>
      </c>
    </row>
    <row r="2">
      <c r="A2" s="2" t="inlineStr"/>
    </row>
    <row r="3">
      <c r="A3" s="1" t="inlineStr">
        <is>
          <t>THE OWNER'S FOUR RULINGS THAT GOVERN THIS BUILD:</t>
        </is>
      </c>
    </row>
    <row r="4">
      <c r="A4" s="2" t="inlineStr">
        <is>
          <t>1. Full sweep, micro work, in a sheet with real-life events per row 'so i can also measure and verify'.</t>
        </is>
      </c>
    </row>
    <row r="5">
      <c r="A5" s="2" t="inlineStr">
        <is>
          <t>2. Not just the 45 - the re-run adds new numbers (see sheet '45 RERUN', items 46+).</t>
        </is>
      </c>
    </row>
    <row r="6">
      <c r="A6" s="2" t="inlineStr">
        <is>
          <t>3. Disagreements marked; 'at halt/gap come to me' - see sheet 'HALT-GAP to OWNER'.</t>
        </is>
      </c>
    </row>
    <row r="7">
      <c r="A7" s="2" t="inlineStr">
        <is>
          <t>4. 'not written by others, before every work, he says things, then u need to review his work does it matches the same intent' - spine = HIS OWN WORDS. Sheet 'HIS WORDS FIRST' does declared-intent vs delivered-work for every major work. Letters he wrote that survive only inside Dedekind's biography are HIS words in a carrier - tagged (carrier) and capped at H3. Statements ABOUT him by others are used only where no self-witness exists, tagged (external witness), capped Medium.</t>
        </is>
      </c>
    </row>
    <row r="8">
      <c r="A8" s="2" t="inlineStr"/>
    </row>
    <row r="9">
      <c r="A9" s="2" t="inlineStr">
        <is>
          <t>EVIDENCE LADDER (the owner's H-scale): H0 Unknown / H1 Possible / H2 Indicated / H3 Probable / H4 Self-reported (his words) / H5 Behaviourally demonstrated (his work shows it) / H6 Contextually verified (words + work + conditions converge). One-witness inner-life claims CAP AT MEDIUM (H3) regardless of vividness.</t>
        </is>
      </c>
    </row>
    <row r="10">
      <c r="A10" s="1" t="inlineStr">
        <is>
          <t>TAGS: [VERBATIM] = his exact words (German kept where load-bearing). [PARAPHRASE] = faithful compression of his text. (carrier) = his words transmitted via Dedekind's 'Lebenslauf'. [INFERRED] = my reading from the record - lowest trust, always paired with what it rests on.</t>
        </is>
      </c>
    </row>
    <row r="11">
      <c r="A11" s="2" t="inlineStr"/>
    </row>
    <row r="12">
      <c r="A12" s="2" t="inlineStr">
        <is>
          <t>THE ANTI-PLEASING CHECK (owner's order: 'do not just answer to please me'): the 45 re-run was graded by HIS brain, not bent toward the template. Tally below is computed live from the '45 RERUN' sheet - if DIFFERS+REJECTS+NO-VERDICT were 0, this workbook would be flattery and should be thrown away.</t>
        </is>
      </c>
    </row>
    <row r="13">
      <c r="A13" s="1" t="inlineStr">
        <is>
          <t>AGREES:</t>
        </is>
      </c>
      <c r="B13" s="2">
        <f>COUNTIF('45 RERUN'!D:D,"AGREES")</f>
        <v/>
      </c>
      <c r="C13" s="10" t="n">
        <v>15</v>
      </c>
      <c r="D13" s="11" t="inlineStr">
        <is>
          <t>(computed at build; the formula in column B recomputes live in Excel)</t>
        </is>
      </c>
    </row>
    <row r="14">
      <c r="A14" s="1" t="inlineStr">
        <is>
          <t>CONDITIONAL:</t>
        </is>
      </c>
      <c r="B14" s="2">
        <f>COUNTIF('45 RERUN'!D:D,"CONDITIONAL")</f>
        <v/>
      </c>
      <c r="C14" s="10" t="n">
        <v>13</v>
      </c>
      <c r="D14" s="11" t="inlineStr">
        <is>
          <t>(computed at build; the formula in column B recomputes live in Excel)</t>
        </is>
      </c>
    </row>
    <row r="15">
      <c r="A15" s="1" t="inlineStr">
        <is>
          <t>DIFFERS:</t>
        </is>
      </c>
      <c r="B15" s="2">
        <f>COUNTIF('45 RERUN'!D:D,"DIFFERS")</f>
        <v/>
      </c>
      <c r="C15" s="10" t="n">
        <v>10</v>
      </c>
      <c r="D15" s="11" t="inlineStr">
        <is>
          <t>(computed at build; the formula in column B recomputes live in Excel)</t>
        </is>
      </c>
    </row>
    <row r="16">
      <c r="A16" s="1" t="inlineStr">
        <is>
          <t>REJECTS:</t>
        </is>
      </c>
      <c r="B16" s="2">
        <f>COUNTIF('45 RERUN'!D:D,"REJECTS")</f>
        <v/>
      </c>
      <c r="C16" s="10" t="n">
        <v>3</v>
      </c>
      <c r="D16" s="11" t="inlineStr">
        <is>
          <t>(computed at build; the formula in column B recomputes live in Excel)</t>
        </is>
      </c>
    </row>
    <row r="17">
      <c r="A17" s="1" t="inlineStr">
        <is>
          <t>NO-VERDICT:</t>
        </is>
      </c>
      <c r="B17" s="2">
        <f>COUNTIF('45 RERUN'!D:D,"NO-VERDICT")</f>
        <v/>
      </c>
      <c r="C17" s="10" t="n">
        <v>4</v>
      </c>
      <c r="D17" s="11" t="inlineStr">
        <is>
          <t>(computed at build; the formula in column B recomputes live in Excel)</t>
        </is>
      </c>
    </row>
    <row r="18">
      <c r="A18" s="2" t="inlineStr"/>
    </row>
    <row r="19">
      <c r="A19" s="2" t="inlineStr">
        <is>
          <t>SHEETS: HIS WORDS FIRST (declared intent vs delivered work) | BRAIN 80 CONTAINERS (the full sweep) | HIS PARAMETERS (what Point Zero, Intent, Motive, Wound... stand for IN HIM) | FILTERS 40 | STUCK &amp; DELIVER (what he does at a halt; what he does when he gives his word) | 45 RERUN (+ new items) | NEW PARAM CANDIDATES (toward &gt;2,560) | HALT-GAP to OWNER.</t>
        </is>
      </c>
    </row>
    <row r="20">
      <c r="A20" s="2" t="inlineStr">
        <is>
          <t>Sources he can check: Riemann's collected works (Gesammelte Werke, ed. Weber/Dedekind), the 1854 habilitation lecture, the 1859 zeta paper, the philosophical fragments (Herbart notes, Geistesmassen), the 1858 electrodynamics note, Mechanik des Ohres (1866/67), the Nachlass computation sheets (Siegel 1932). Every row names its pointer.</t>
        </is>
      </c>
    </row>
    <row r="21"/>
    <row r="22"/>
    <row r="23"/>
    <row r="24"/>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55" customWidth="1" min="3" max="3"/>
    <col width="12" customWidth="1" min="4" max="4"/>
    <col width="45" customWidth="1" min="5" max="5"/>
    <col width="28" customWidth="1" min="6" max="6"/>
  </cols>
  <sheetData>
    <row r="1">
      <c r="A1" s="3" t="inlineStr">
        <is>
          <t>Work / Year</t>
        </is>
      </c>
      <c r="B1" s="3" t="inlineStr">
        <is>
          <t>What HE says before/inside it (the declared intent)</t>
        </is>
      </c>
      <c r="C1" s="3" t="inlineStr">
        <is>
          <t>What the work actually delivers</t>
        </is>
      </c>
      <c r="D1" s="3" t="inlineStr">
        <is>
          <t>Match verdict</t>
        </is>
      </c>
      <c r="E1" s="3" t="inlineStr">
        <is>
          <t>The gap, named</t>
        </is>
      </c>
      <c r="F1" s="3" t="inlineStr">
        <is>
          <t>Verify at</t>
        </is>
      </c>
    </row>
    <row r="2">
      <c r="A2" s="4" t="inlineStr">
        <is>
          <t>Doctoral dissertation, 1851</t>
        </is>
      </c>
      <c r="B2" s="4" t="inlineStr">
        <is>
          <t>[PARAPHRASE] Declares a new foundation for the theory of functions of a complex variable, from general concepts (mapping, connectivity) rather than formulas.</t>
        </is>
      </c>
      <c r="C2" s="4" t="inlineStr">
        <is>
          <t>Delivers exactly that: geometric function theory, Riemann surfaces, the mapping theorem (proof leaning on the Dirichlet principle).</t>
        </is>
      </c>
      <c r="D2" s="4" t="inlineStr">
        <is>
          <t>MATCHES</t>
        </is>
      </c>
      <c r="E2" s="4" t="inlineStr">
        <is>
          <t>The Dirichlet principle is USED as if proven - the gap surfaces publicly only in 1870 (Weierstrass) and is repaired by Hilbert ~1900. Use ran ahead of Witness, in his own practice.</t>
        </is>
      </c>
      <c r="F2" s="4" t="inlineStr">
        <is>
          <t>Werke, Inauguraldissertation</t>
        </is>
      </c>
    </row>
    <row r="3">
      <c r="A3" s="4" t="inlineStr">
        <is>
          <t>Habilitation lecture, 1854</t>
        </is>
      </c>
      <c r="B3" s="4" t="inlineStr">
        <is>
          <t>[VERBATIM] 'Bekanntlich setzt die Geometrie sowohl den Begriff des Raumes, als die ersten Grundbegriffe fuer die Constructionen im Raume als etwas Gegebenes voraus.' - he opens by naming what everyone else PRESUPPOSES, and announces a plan to construct the concept of multiply-extended magnitude.</t>
        </is>
      </c>
      <c r="C3" s="4" t="inlineStr">
        <is>
          <t>Delivers the full plan: manifold concept -&gt; possible metric relations -&gt; application to actual space, ending that the ground of the metric must be sought 'in darauf wirkenden bindenden Kraeften' - outside, in binding forces; handed to physics.</t>
        </is>
      </c>
      <c r="D3" s="4" t="inlineStr">
        <is>
          <t>MATCHES</t>
        </is>
      </c>
      <c r="E3" s="4" t="inlineStr">
        <is>
          <t>None internal. The lecture keeps its own promise. Delivered under external constraint: Gauss chose this third, least-prepared topic (his quandary reported in his own letter home, carrier).</t>
        </is>
      </c>
      <c r="F3" s="4" t="inlineStr">
        <is>
          <t>Ueber die Hypothesen, welche der Geometrie zu Grunde liegen</t>
        </is>
      </c>
    </row>
    <row r="4">
      <c r="A4" s="4" t="inlineStr">
        <is>
          <t>Abelian functions, 1857</t>
        </is>
      </c>
      <c r="B4" s="4" t="inlineStr">
        <is>
          <t>[PARAPHRASE] Aims to treat the whole theory of Abelian integrals from his 1851 foundations.</t>
        </is>
      </c>
      <c r="C4" s="4" t="inlineStr">
        <is>
          <t>Delivers the theory; establishes him. Written in an overwork bout that preceded a collapse (carrier).</t>
        </is>
      </c>
      <c r="D4" s="4" t="inlineStr">
        <is>
          <t>MATCHES</t>
        </is>
      </c>
      <c r="E4" s="4" t="inlineStr">
        <is>
          <t>Cost paid in the body - the Energy/Fatigue container, not the mathematics.</t>
        </is>
      </c>
      <c r="F4" s="4" t="inlineStr">
        <is>
          <t>Werke, Theorie der Abel'schen Functionen</t>
        </is>
      </c>
    </row>
    <row r="5">
      <c r="A5" s="4" t="inlineStr">
        <is>
          <t>Zeta paper, 1859 - the declared intent</t>
        </is>
      </c>
      <c r="B5" s="4" t="inlineStr">
        <is>
          <t>[VERBATIM] 'Meinen Dank ... glaube ich am besten dadurch zu erkennen zu geben ... durch Mittheilung einer Untersuchung ueber die Haeufigkeit der Primzahlen; ein Gegenstand, welcher ... einer solchen Mittheilung vielleicht nicht ganz unwerth erscheint.' - the declared intent is GRATITUDE repaid with a report on HOW OFTEN primes occur.</t>
        </is>
      </c>
      <c r="C5" s="4" t="inlineStr">
        <is>
          <t>Delivers the analytic continuation, the functional equation, the count formula N(T), the explicit formula pi(x) driven by the roots - the machinery of the frequency of primes.</t>
        </is>
      </c>
      <c r="D5" s="4" t="inlineStr">
        <is>
          <t>MATCHES</t>
        </is>
      </c>
      <c r="E5" s="4" t="inlineStr">
        <is>
          <t>Two steps stand unproven and HE SAYS SO in the text (the root count; the hypothesis itself). Intent was a report, not a proof - measured against his declared intent, the paper over-delivers.</t>
        </is>
      </c>
      <c r="F5" s="4" t="inlineStr">
        <is>
          <t>Ueber die Anzahl der Primzahlen..., opening sentence</t>
        </is>
      </c>
    </row>
    <row r="6">
      <c r="A6" s="4" t="inlineStr">
        <is>
          <t>Zeta paper, 1859 - the halt sentence</t>
        </is>
      </c>
      <c r="B6" s="4" t="inlineStr">
        <is>
          <t>[VERBATIM] 'Es waere allerdings ein strenger Beweis hiervon zu wuenschen; ich habe indess die Aufsuchung desselben nach einigen fluechtigen vergeblichen Versuchen vorlaeufig bei Seite gelassen, da er fuer den naechsten Zweck meiner Untersuchung entbehrlich schien.'</t>
        </is>
      </c>
      <c r="C6" s="4" t="inlineStr">
        <is>
          <t>A rigorous proof would be desirable; after some fleeting futile attempts I have PROVISIONALLY laid the search ASIDE, since it seemed dispensable for the immediate purpose.</t>
        </is>
      </c>
      <c r="D6" s="4" t="inlineStr">
        <is>
          <t>MATCHES</t>
        </is>
      </c>
      <c r="E6" s="4" t="inlineStr">
        <is>
          <t>THE OWNER'S HALT-LAW IN RIEMANN'S OWN 1859 WORDS: 'vorlaeufig bei Seite gelassen' - provisionally set aside. Not failure, not full stop: a named halt with the loop left open, and the walk continued past it.</t>
        </is>
      </c>
      <c r="F6" s="4" t="inlineStr">
        <is>
          <t>same paper, after 'sehr wahrscheinlich'</t>
        </is>
      </c>
    </row>
    <row r="7">
      <c r="A7" s="4" t="inlineStr">
        <is>
          <t>Electrodynamics, 1858</t>
        </is>
      </c>
      <c r="B7" s="4" t="inlineStr">
        <is>
          <t>[PARAPHRASE] Communicates to the Goettingen Society a finding that electric action propagates with the velocity of light - a new conception of electrodynamics before Maxwell.</t>
        </is>
      </c>
      <c r="C7" s="4" t="inlineStr">
        <is>
          <t>Submitted - then WITHDRAWN by him; never republished in his lifetime; printed posthumously.</t>
        </is>
      </c>
      <c r="D7" s="4" t="inlineStr">
        <is>
          <t>GAP</t>
        </is>
      </c>
      <c r="E7" s="4" t="inlineStr">
        <is>
          <t>He never states the reason for withdrawal. No self-witness exists. GAP -&gt; to the owner (Halt-Gap ledger H-1). The behaviour (withhold when unripe) matches his release pattern; the reason is unwitnessed.</t>
        </is>
      </c>
      <c r="F7" s="4" t="inlineStr">
        <is>
          <t>Werke, Ein Beitrag zur Elektrodynamik (posth.)</t>
        </is>
      </c>
    </row>
    <row r="8">
      <c r="A8" s="4" t="inlineStr">
        <is>
          <t>The Hauptarbeit fragment (private, undated)</t>
        </is>
      </c>
      <c r="B8" s="4" t="inlineStr">
        <is>
          <t>[VERBATIM] 'Meine Hauptarbeit betrifft eine neue Auffassung der bekannten Naturgesetze - Ausdruecke derselben mittelst anderer Grundbegriffe - wodurch die Benutzung der experimentellen Data ueber die Wechselwirkung zwischen Waerme, Licht, Magnetismus und Electricitaet zur Erforschung ihres Zusammenhangs moeglich wuerde. Ich wurde dazu hauptsaechlich durch das Studium der Werke Newton's, Euler's und - anderseits - Herbart's gefuehrt.'</t>
        </is>
      </c>
      <c r="C8" s="4" t="inlineStr">
        <is>
          <t>The declared MAIN WORK - a new conception of the known laws of nature, expressed in other ground-concepts, to explore their CONNECTION - was never delivered as a work. Fragments only.</t>
        </is>
      </c>
      <c r="D8" s="4" t="inlineStr">
        <is>
          <t>GAP</t>
        </is>
      </c>
      <c r="E8" s="4" t="inlineStr">
        <is>
          <t>The largest declared-intent-vs-delivery gap of his life - and it is PRIVATE ambition: publicly he never claimed it. Death and resources intervened; the fragments are the kept file.</t>
        </is>
      </c>
      <c r="F8" s="4" t="inlineStr">
        <is>
          <t>Werke, Fragmente philosophischen Inhalts</t>
        </is>
      </c>
    </row>
    <row r="9">
      <c r="A9" s="4" t="inlineStr">
        <is>
          <t>Geistesmassen fragment (private)</t>
        </is>
      </c>
      <c r="B9" s="4" t="inlineStr">
        <is>
          <t>[VERBATIM] 'Mit jedem einfachen Denkacte tritt etwas Bleibendes, Substantielles in unsere Seele ein.' - with every simple act of thought something PERMANENT, substantial, enters the soul. Plus [PARAPHRASE]: the mind as bonded thought-masses that persist, strengthen, and combine; a fuller treatment hoped for later.</t>
        </is>
      </c>
      <c r="C9" s="4" t="inlineStr">
        <is>
          <t>The psychology was never written out; the fragment states the law-sketch and stops.</t>
        </is>
      </c>
      <c r="D9" s="4" t="inlineStr">
        <is>
          <t>GAP</t>
        </is>
      </c>
      <c r="E9" s="4" t="inlineStr">
        <is>
          <t>A promised return that death cancelled - intent-action gap by mortality, not abandonment. This fragment is the closest existing thing to the owner's registry: a parameter-model of mind, declared and unfinished.</t>
        </is>
      </c>
      <c r="F9" s="4" t="inlineStr">
        <is>
          <t>Werke, Fragmente: Zur Psychologie und Metaphysik</t>
        </is>
      </c>
    </row>
    <row r="10">
      <c r="A10" s="4" t="inlineStr">
        <is>
          <t>Mechanik des Ohres, 1866 (last work, unfinished)</t>
        </is>
      </c>
      <c r="B10" s="4" t="inlineStr">
        <is>
          <t>[PARAPHRASE] Opens with METHOD: the study of an organ should start from its performance (Leistung) - what the ear demonstrably achieves - and reason BACK to the mechanism, rather than forward from anatomy alone.</t>
        </is>
      </c>
      <c r="C10" s="4" t="inlineStr">
        <is>
          <t>The method section and the beginning of the analysis exist; he died working on it; printed posthumously in a medical journal.</t>
        </is>
      </c>
      <c r="D10" s="4" t="inlineStr">
        <is>
          <t>GAP</t>
        </is>
      </c>
      <c r="E10" s="4" t="inlineStr">
        <is>
          <t>Unfinished by death - he worked the loop to the last. The method (performance -&gt; apparatus) is itself the deliverable that survived.</t>
        </is>
      </c>
      <c r="F10" s="4" t="inlineStr">
        <is>
          <t>Werke / Henle-Pfeufer Zeitschrift fuer rationelle Medicin, 1867</t>
        </is>
      </c>
    </row>
    <row r="11">
      <c r="A11" s="4" t="inlineStr">
        <is>
          <t>The private zero computation (Nachlass, undated)</t>
        </is>
      </c>
      <c r="B11" s="4" t="inlineStr">
        <is>
          <t>(No declaration - he never announced it at all.)</t>
        </is>
      </c>
      <c r="C11" s="4" t="inlineStr">
        <is>
          <t>Sheets of numerical computation of the first zeros of zeta (gamma_1 ~ 14.13...) plus an asymptotic formula for computing Z(t) - unpublished, reconstructed by Siegel in 1932 as the 'Riemann-Siegel formula'.</t>
        </is>
      </c>
      <c r="D11" s="4" t="inlineStr">
        <is>
          <t>GAP</t>
        </is>
      </c>
      <c r="E11" s="4" t="inlineStr">
        <is>
          <t>Work with NO declared intent and no publication: he computed, verified privately, said nothing. The visible paper claims 'sehr wahrscheinlich'; the drawer holds the arithmetic that earned the confidence. The kept half held the answer 73 years.</t>
        </is>
      </c>
      <c r="F11" s="4" t="inlineStr">
        <is>
          <t>Siegel, Ueber Riemanns Nachlass zur analytischen Zahlentheorie (1932)</t>
        </is>
      </c>
    </row>
    <row r="12">
      <c r="A12" s="4" t="inlineStr">
        <is>
          <t>The probability sentence, 1859</t>
        </is>
      </c>
      <c r="B12" s="4" t="inlineStr">
        <is>
          <t>[VERBATIM] '... und es ist sehr wahrscheinlich, dass alle Wurzeln reell sind.' - it is VERY PROBABLE that all roots are real.</t>
        </is>
      </c>
      <c r="C12" s="4" t="inlineStr">
        <is>
          <t>He prices his belief: not certain, not proven - very probable. The calibration stands unrevised in print.</t>
        </is>
      </c>
      <c r="D12" s="4" t="inlineStr">
        <is>
          <t>MATCHES</t>
        </is>
      </c>
      <c r="E12" s="4" t="inlineStr">
        <is>
          <t>None: the claim and the evidence he held (his private computations) match the confidence he printed. Public number, private ground.</t>
        </is>
      </c>
      <c r="F12" s="4" t="inlineStr">
        <is>
          <t>zeta paper; Nachlass sheets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14" customWidth="1" min="3" max="3"/>
    <col width="55" customWidth="1" min="4" max="4"/>
    <col width="48" customWidth="1" min="5" max="5"/>
    <col width="42" customWidth="1" min="6" max="6"/>
    <col width="22" customWidth="1" min="7" max="7"/>
    <col width="4" customWidth="1" min="8" max="8"/>
    <col width="24" customWidth="1" min="9" max="9"/>
  </cols>
  <sheetData>
    <row r="1">
      <c r="A1" s="3" t="inlineStr">
        <is>
          <t>#</t>
        </is>
      </c>
      <c r="B1" s="3" t="inlineStr">
        <is>
          <t>Container (the owner's registry)</t>
        </is>
      </c>
      <c r="C1" s="3" t="inlineStr">
        <is>
          <t>State in HIM (12-state model)</t>
        </is>
      </c>
      <c r="D1" s="3" t="inlineStr">
        <is>
          <t>Micro reading - which sub-parameters inside carried him, with content</t>
        </is>
      </c>
      <c r="E1" s="3" t="inlineStr">
        <is>
          <t>Real-life event (the example to verify against)</t>
        </is>
      </c>
      <c r="F1" s="3" t="inlineStr">
        <is>
          <t>His own words, where they exist</t>
        </is>
      </c>
      <c r="G1" s="3" t="inlineStr">
        <is>
          <t>Filters acting</t>
        </is>
      </c>
      <c r="H1" s="3" t="inlineStr">
        <is>
          <t>H</t>
        </is>
      </c>
      <c r="I1" s="3" t="inlineStr">
        <is>
          <t>Verify at</t>
        </is>
      </c>
    </row>
    <row r="2">
      <c r="A2" s="5" t="inlineStr">
        <is>
          <t>SEGMENT 1 - BIOLOGICAL REGULATION &amp; INTERNAL STATE (8 containers, 236 sub-parameters)</t>
        </is>
      </c>
      <c r="B2" s="7" t="n"/>
      <c r="C2" s="7" t="n"/>
      <c r="D2" s="7" t="n"/>
      <c r="E2" s="7" t="n"/>
      <c r="F2" s="7" t="n"/>
      <c r="G2" s="7" t="n"/>
      <c r="H2" s="7" t="n"/>
      <c r="I2" s="8" t="n"/>
    </row>
    <row r="3">
      <c r="A3" s="4" t="n">
        <v>1</v>
      </c>
      <c r="B3" s="4" t="inlineStr">
        <is>
          <t>Homeostasis &amp; Allostasis</t>
        </is>
      </c>
      <c r="C3" s="4" t="inlineStr">
        <is>
          <t>IMPAIRED (from 1862)</t>
        </is>
      </c>
      <c r="D3" s="4" t="inlineStr">
        <is>
          <t>Survival prioritisation and anticipatory regulation ran his last four years: winters planned around climate (Italy) to keep the body working. Metabolic ground fragile from a poor childhood.</t>
        </is>
      </c>
      <c r="E3" s="4" t="inlineStr">
        <is>
          <t>Pleurisy weeks after his 1862 marriage collapses into tuberculosis; repeated Italy journeys chasing climate; dies at Selasca 1866 aged 39.</t>
        </is>
      </c>
      <c r="F3" s="4" t="inlineStr">
        <is>
          <t>(no self-witness on health mechanics; his letters home discuss travel-for-health) (carrier)</t>
        </is>
      </c>
      <c r="G3" s="4" t="inlineStr">
        <is>
          <t>Biological, Environment, Scarcity</t>
        </is>
      </c>
      <c r="H3" s="4" t="inlineStr">
        <is>
          <t>H3</t>
        </is>
      </c>
      <c r="I3" s="4" t="inlineStr">
        <is>
          <t>Werke biography section; letters (carrier)</t>
        </is>
      </c>
    </row>
    <row r="4">
      <c r="A4" s="4" t="n">
        <v>2</v>
      </c>
      <c r="B4" s="4" t="inlineStr">
        <is>
          <t>Arousal &amp; Wakefulness</t>
        </is>
      </c>
      <c r="C4" s="4" t="inlineStr">
        <is>
          <t>ACTIVE, bout-driven</t>
        </is>
      </c>
      <c r="D4" s="4" t="inlineStr">
        <is>
          <t>Alertness ran in long unbroken work bouts; 'mental intensity' maxed during composition, then crashed - capacity was not steady-state, it was tidal.</t>
        </is>
      </c>
      <c r="E4" s="4" t="inlineStr">
        <is>
          <t>The 1857 Abelian-functions push is followed by exhaustion and a dark period (carrier).</t>
        </is>
      </c>
      <c r="F4" s="4" t="inlineStr">
        <is>
          <t>(carrier)</t>
        </is>
      </c>
      <c r="G4" s="4" t="inlineStr">
        <is>
          <t>Energy, Stress, Reward</t>
        </is>
      </c>
      <c r="H4" s="4" t="inlineStr">
        <is>
          <t>H2</t>
        </is>
      </c>
      <c r="I4" s="4" t="inlineStr">
        <is>
          <t>Dedekind Lebenslauf (carrier)</t>
        </is>
      </c>
    </row>
    <row r="5">
      <c r="A5" s="4" t="n">
        <v>3</v>
      </c>
      <c r="B5" s="4" t="inlineStr">
        <is>
          <t>Sleep &amp; Circadian Regulation</t>
        </is>
      </c>
      <c r="C5" s="4" t="inlineStr">
        <is>
          <t>UNKNOWN</t>
        </is>
      </c>
      <c r="D5" s="4" t="inlineStr">
        <is>
          <t>No self-witness found on sleep. Honest H0 - micro work needs sources that may not exist in his own words.</t>
        </is>
      </c>
      <c r="E5" s="4" t="inlineStr">
        <is>
          <t>-</t>
        </is>
      </c>
      <c r="F5" s="4" t="inlineStr">
        <is>
          <t>-</t>
        </is>
      </c>
      <c r="G5" s="4" t="inlineStr">
        <is>
          <t>-</t>
        </is>
      </c>
      <c r="H5" s="4" t="inlineStr">
        <is>
          <t>H0</t>
        </is>
      </c>
      <c r="I5" s="4" t="inlineStr">
        <is>
          <t>open - see Halt-Gap H-4</t>
        </is>
      </c>
    </row>
    <row r="6">
      <c r="A6" s="4" t="n">
        <v>4</v>
      </c>
      <c r="B6" s="4" t="inlineStr">
        <is>
          <t>Interoception &amp; Internal Body Mapping</t>
        </is>
      </c>
      <c r="C6" s="4" t="inlineStr">
        <is>
          <t>DOMINANT-NEGATIVE (episodes)</t>
        </is>
      </c>
      <c r="D6" s="4" t="inlineStr">
        <is>
          <t>'Bodily unease' and 'internal pain' over-read: hypochondriac episodes - the body-signal channel amplified into threat during grief years.</t>
        </is>
      </c>
      <c r="E6" s="4" t="inlineStr">
        <is>
          <t>After his father's death (1855) and sister's death, gloom with health-fear; friends prescribe walking tours (carrier).</t>
        </is>
      </c>
      <c r="F6" s="4" t="inlineStr">
        <is>
          <t>(carrier)</t>
        </is>
      </c>
      <c r="G6" s="4" t="inlineStr">
        <is>
          <t>Trauma, Emotional, Interoceptive</t>
        </is>
      </c>
      <c r="H6" s="4" t="inlineStr">
        <is>
          <t>H2</t>
        </is>
      </c>
      <c r="I6" s="4" t="inlineStr">
        <is>
          <t>Dedekind Lebenslauf (carrier)</t>
        </is>
      </c>
    </row>
    <row r="7">
      <c r="A7" s="4" t="n">
        <v>5</v>
      </c>
      <c r="B7" s="4" t="inlineStr">
        <is>
          <t>Autonomic &amp; Hormonal Regulation</t>
        </is>
      </c>
      <c r="C7" s="4" t="inlineStr">
        <is>
          <t>ACTIVE under grief-stress</t>
        </is>
      </c>
      <c r="D7" s="4" t="inlineStr">
        <is>
          <t>'Bodily mobilisation' coupled tightly to family loss events - the stress response was event-locked, not ambient.</t>
        </is>
      </c>
      <c r="E7" s="4" t="inlineStr">
        <is>
          <t>1855-57: father dies, brother dies, a sister dies - the cluster precedes his weakest period.</t>
        </is>
      </c>
      <c r="F7" s="4" t="inlineStr">
        <is>
          <t>(carrier)</t>
        </is>
      </c>
      <c r="G7" s="4" t="inlineStr">
        <is>
          <t>Stress, Trauma</t>
        </is>
      </c>
      <c r="H7" s="4" t="inlineStr">
        <is>
          <t>H2</t>
        </is>
      </c>
      <c r="I7" s="4" t="inlineStr">
        <is>
          <t>carrier</t>
        </is>
      </c>
    </row>
    <row r="8">
      <c r="A8" s="4" t="n">
        <v>6</v>
      </c>
      <c r="B8" s="4" t="inlineStr">
        <is>
          <t>Pain &amp; Protective Signalling</t>
        </is>
      </c>
      <c r="C8" s="4" t="inlineStr">
        <is>
          <t>COMPENSATED</t>
        </is>
      </c>
      <c r="D8" s="4" t="inlineStr">
        <is>
          <t>'Pain prediction' did not stop output: he worked through terminal illness by re-routing to lighter tasks - protective signalling obeyed for the body, overridden for the work.</t>
        </is>
      </c>
      <c r="E8" s="4" t="inlineStr">
        <is>
          <t>Final months: too weak for long mathematics, he works the Ear paper and philosophy - scaled work to remaining capacity, never zero.</t>
        </is>
      </c>
      <c r="F8" s="4" t="inlineStr">
        <is>
          <t>(carrier + the unfinished ear MS itself)</t>
        </is>
      </c>
      <c r="G8" s="4" t="inlineStr">
        <is>
          <t>Biological, Time</t>
        </is>
      </c>
      <c r="H8" s="4" t="inlineStr">
        <is>
          <t>H3</t>
        </is>
      </c>
      <c r="I8" s="4" t="inlineStr">
        <is>
          <t>Mechanik des Ohres (posth.)</t>
        </is>
      </c>
    </row>
    <row r="9">
      <c r="A9" s="4" t="n">
        <v>7</v>
      </c>
      <c r="B9" s="4" t="inlineStr">
        <is>
          <t>Energy, Fatigue &amp; Resource Budgeting</t>
        </is>
      </c>
      <c r="C9" s="4" t="inlineStr">
        <is>
          <t>IMPAIRED, consciously budgeted</t>
        </is>
      </c>
      <c r="D9" s="4" t="inlineStr">
        <is>
          <t>'Resource allocation' explicit: vacations, walking tours, company of friends deployed as repair instruments; 'depletion expectation' learned after each collapse.</t>
        </is>
      </c>
      <c r="E9" s="4" t="inlineStr">
        <is>
          <t>Harz walking tour with Dedekind; Switzerland/Italy journeys structured as recovery.</t>
        </is>
      </c>
      <c r="F9" s="4" t="inlineStr">
        <is>
          <t>(carrier)</t>
        </is>
      </c>
      <c r="G9" s="4" t="inlineStr">
        <is>
          <t>Energy, Relationship</t>
        </is>
      </c>
      <c r="H9" s="4" t="inlineStr">
        <is>
          <t>H3</t>
        </is>
      </c>
      <c r="I9" s="4" t="inlineStr">
        <is>
          <t>carrier</t>
        </is>
      </c>
    </row>
    <row r="10">
      <c r="A10" s="4" t="n">
        <v>8</v>
      </c>
      <c r="B10" s="4" t="inlineStr">
        <is>
          <t>Basic Biological Drives</t>
        </is>
      </c>
      <c r="C10" s="4" t="inlineStr">
        <is>
          <t>SUBORDINATED to duty</t>
        </is>
      </c>
      <c r="D10" s="4" t="inlineStr">
        <is>
          <t>'Physical safety / comfort' consistently ranked below family provision and the work; caregiving drive strong toward sisters.</t>
        </is>
      </c>
      <c r="E10" s="4" t="inlineStr">
        <is>
          <t>On a Privatdozent's near-zero income he sends money to his sisters; comfort deferred essentially his whole career.</t>
        </is>
      </c>
      <c r="F10" s="4" t="inlineStr">
        <is>
          <t>(carrier; his begging-none, providing-much pattern)</t>
        </is>
      </c>
      <c r="G10" s="4" t="inlineStr">
        <is>
          <t>Scarcity, Value, Relationship</t>
        </is>
      </c>
      <c r="H10" s="4" t="inlineStr">
        <is>
          <t>H3</t>
        </is>
      </c>
      <c r="I10" s="4" t="inlineStr">
        <is>
          <t>carrier</t>
        </is>
      </c>
    </row>
    <row r="11">
      <c r="A11" s="5" t="inlineStr">
        <is>
          <t>SEGMENT 2 - PERCEPTION &amp; BODY REPRESENTATION (8 containers, 240 sub-parameters)</t>
        </is>
      </c>
      <c r="B11" s="7" t="n"/>
      <c r="C11" s="7" t="n"/>
      <c r="D11" s="7" t="n"/>
      <c r="E11" s="7" t="n"/>
      <c r="F11" s="7" t="n"/>
      <c r="G11" s="7" t="n"/>
      <c r="H11" s="7" t="n"/>
      <c r="I11" s="8" t="n"/>
    </row>
    <row r="12">
      <c r="A12" s="4" t="n">
        <v>9</v>
      </c>
      <c r="B12" s="4" t="inlineStr">
        <is>
          <t>Visual Perception</t>
        </is>
      </c>
      <c r="C12" s="4" t="inlineStr">
        <is>
          <t>DOMINANT (inner)</t>
        </is>
      </c>
      <c r="D12" s="4" t="inlineStr">
        <is>
          <t>'Visual prediction' and 'scene recognition' turned inward: he THINKS in figures - surfaces, sheets, branch points, curvature. The eye is his reasoning organ more than the symbol-string.</t>
        </is>
      </c>
      <c r="E12" s="4" t="inlineStr">
        <is>
          <t>1851: functions become SURFACES (Riemann surfaces) - a picture where Weierstrass's school keeps formula-chains.</t>
        </is>
      </c>
      <c r="F12" s="4" t="inlineStr">
        <is>
          <t>[PARAPHRASE] the dissertation's whole method: study functions by the geometry of their mappings.</t>
        </is>
      </c>
      <c r="G12" s="4" t="inlineStr">
        <is>
          <t>Knowledge, Practice</t>
        </is>
      </c>
      <c r="H12" s="4" t="inlineStr">
        <is>
          <t>H5</t>
        </is>
      </c>
      <c r="I12" s="4" t="inlineStr">
        <is>
          <t>Inauguraldissertation 1851</t>
        </is>
      </c>
    </row>
    <row r="13">
      <c r="A13" s="4" t="n">
        <v>10</v>
      </c>
      <c r="B13" s="4" t="inlineStr">
        <is>
          <t>Auditory Perception</t>
        </is>
      </c>
      <c r="C13" s="4" t="inlineStr">
        <is>
          <t>PRIMED -&gt; object of study</t>
        </is>
      </c>
      <c r="D13" s="4" t="inlineStr">
        <is>
          <t>Hearing became not his tool but his QUESTION: pitch, speech sounds, source separation are the very sub-parameters his last paper reverse-engineers.</t>
        </is>
      </c>
      <c r="E13" s="4" t="inlineStr">
        <is>
          <t>1866: chooses the EAR - how a drum performs exact analysis of incoming sound - as his final problem.</t>
        </is>
      </c>
      <c r="F13" s="4" t="inlineStr">
        <is>
          <t>[PARAPHRASE] ear paper method opening.</t>
        </is>
      </c>
      <c r="G13" s="4" t="inlineStr">
        <is>
          <t>Salience, Knowledge</t>
        </is>
      </c>
      <c r="H13" s="4" t="inlineStr">
        <is>
          <t>H5</t>
        </is>
      </c>
      <c r="I13" s="4" t="inlineStr">
        <is>
          <t>Mechanik des Ohres</t>
        </is>
      </c>
    </row>
    <row r="14">
      <c r="A14" s="4" t="n">
        <v>11</v>
      </c>
      <c r="B14" s="4" t="inlineStr">
        <is>
          <t>Somatosensory Perception</t>
        </is>
      </c>
      <c r="C14" s="4" t="inlineStr">
        <is>
          <t>UNKNOWN</t>
        </is>
      </c>
      <c r="D14" s="4" t="inlineStr">
        <is>
          <t>No self-witness.</t>
        </is>
      </c>
      <c r="E14" s="4" t="inlineStr">
        <is>
          <t>-</t>
        </is>
      </c>
      <c r="F14" s="4" t="inlineStr">
        <is>
          <t>-</t>
        </is>
      </c>
      <c r="G14" s="4" t="inlineStr">
        <is>
          <t>-</t>
        </is>
      </c>
      <c r="H14" s="4" t="inlineStr">
        <is>
          <t>H0</t>
        </is>
      </c>
      <c r="I14" s="4" t="inlineStr">
        <is>
          <t>open</t>
        </is>
      </c>
    </row>
    <row r="15">
      <c r="A15" s="4" t="n">
        <v>12</v>
      </c>
      <c r="B15" s="4" t="inlineStr">
        <is>
          <t>Smell, Taste &amp; Chemical Sensing</t>
        </is>
      </c>
      <c r="C15" s="4" t="inlineStr">
        <is>
          <t>UNKNOWN</t>
        </is>
      </c>
      <c r="D15" s="4" t="inlineStr">
        <is>
          <t>No self-witness.</t>
        </is>
      </c>
      <c r="E15" s="4" t="inlineStr">
        <is>
          <t>-</t>
        </is>
      </c>
      <c r="F15" s="4" t="inlineStr">
        <is>
          <t>-</t>
        </is>
      </c>
      <c r="G15" s="4" t="inlineStr">
        <is>
          <t>-</t>
        </is>
      </c>
      <c r="H15" s="4" t="inlineStr">
        <is>
          <t>H0</t>
        </is>
      </c>
      <c r="I15" s="4" t="inlineStr">
        <is>
          <t>open</t>
        </is>
      </c>
    </row>
    <row r="16">
      <c r="A16" s="4" t="n">
        <v>13</v>
      </c>
      <c r="B16" s="4" t="inlineStr">
        <is>
          <t>Multisensory Integration</t>
        </is>
      </c>
      <c r="C16" s="4" t="inlineStr">
        <is>
          <t>ACTIVE (as scientific object)</t>
        </is>
      </c>
      <c r="D16" s="4" t="inlineStr">
        <is>
          <t>'Sensory conflict resolution' fascinated him at the theory level: one coherent experience from incomplete signals is EXACTLY the ear paper's frame and the Geistesmassen frame.</t>
        </is>
      </c>
      <c r="E16" s="4" t="inlineStr">
        <is>
          <t>The ear paper asks how a mechanical drum yields a unified auditory world.</t>
        </is>
      </c>
      <c r="F16" s="4" t="inlineStr">
        <is>
          <t>[PARAPHRASE]</t>
        </is>
      </c>
      <c r="G16" s="4" t="inlineStr">
        <is>
          <t>Knowledge</t>
        </is>
      </c>
      <c r="H16" s="4" t="inlineStr">
        <is>
          <t>H2</t>
        </is>
      </c>
      <c r="I16" s="4" t="inlineStr">
        <is>
          <t>ear paper</t>
        </is>
      </c>
    </row>
    <row r="17">
      <c r="A17" s="4" t="n">
        <v>14</v>
      </c>
      <c r="B17" s="4" t="inlineStr">
        <is>
          <t>Salience &amp; Orienting</t>
        </is>
      </c>
      <c r="C17" s="4" t="inlineStr">
        <is>
          <t>DOMINANT - his signature</t>
        </is>
      </c>
      <c r="D17" s="4" t="inlineStr">
        <is>
          <t>'Novelty detection' tuned to one specific class: THE PRESUPPOSED. What a whole field treats as given (space, counting, the axioms) captures his attention. 'Relevance assignment' inverts the normal: the background becomes the figure.</t>
        </is>
      </c>
      <c r="E17" s="4" t="inlineStr">
        <is>
          <t>Every major work opens by pointing at what everyone assumed: geometry PRESUPPOSES space (1854); the primes' frequency assumed empirical is given machinery (1859).</t>
        </is>
      </c>
      <c r="F17" s="4" t="inlineStr">
        <is>
          <t>[VERBATIM] 'Bekanntlich setzt die Geometrie ... als etwas Gegebenes voraus.'</t>
        </is>
      </c>
      <c r="G17" s="4" t="inlineStr">
        <is>
          <t>Belief, Framing</t>
        </is>
      </c>
      <c r="H17" s="4" t="inlineStr">
        <is>
          <t>H5</t>
        </is>
      </c>
      <c r="I17" s="4" t="inlineStr">
        <is>
          <t>1854 lecture opening</t>
        </is>
      </c>
    </row>
    <row r="18">
      <c r="A18" s="4" t="n">
        <v>15</v>
      </c>
      <c r="B18" s="4" t="inlineStr">
        <is>
          <t>Body Schema, Body Image &amp; Ownership</t>
        </is>
      </c>
      <c r="C18" s="4" t="inlineStr">
        <is>
          <t>UNKNOWN / low-salience</t>
        </is>
      </c>
      <c r="D18" s="4" t="inlineStr">
        <is>
          <t>Timid physical bearing (external witness only, capped).</t>
        </is>
      </c>
      <c r="E18" s="4" t="inlineStr">
        <is>
          <t>-</t>
        </is>
      </c>
      <c r="F18" s="4" t="inlineStr">
        <is>
          <t>(external witness)</t>
        </is>
      </c>
      <c r="G18" s="4" t="inlineStr">
        <is>
          <t>-</t>
        </is>
      </c>
      <c r="H18" s="4" t="inlineStr">
        <is>
          <t>H1</t>
        </is>
      </c>
      <c r="I18" s="4" t="inlineStr">
        <is>
          <t>open</t>
        </is>
      </c>
    </row>
    <row r="19">
      <c r="A19" s="4" t="n">
        <v>16</v>
      </c>
      <c r="B19" s="4" t="inlineStr">
        <is>
          <t>Spatial, Temporal &amp; Environmental Mapping</t>
        </is>
      </c>
      <c r="C19" s="4" t="inlineStr">
        <is>
          <t>DOMINANT (abstract)</t>
        </is>
      </c>
      <c r="D19" s="4" t="inlineStr">
        <is>
          <t>'Direction, distance, layout' generalized past the body into n dimensions: the manifold IS the spatial-mapping container run at maximum abstraction.</t>
        </is>
      </c>
      <c r="E19" s="4" t="inlineStr">
        <is>
          <t>1854: n-fach ausgedehnte Groesse - mapping without any body to stand in it.</t>
        </is>
      </c>
      <c r="F19" s="4" t="inlineStr">
        <is>
          <t>[PARAPHRASE] lecture part 1.</t>
        </is>
      </c>
      <c r="G19" s="4" t="inlineStr">
        <is>
          <t>Knowledge, Complexity</t>
        </is>
      </c>
      <c r="H19" s="4" t="inlineStr">
        <is>
          <t>H5</t>
        </is>
      </c>
      <c r="I19" s="4" t="inlineStr">
        <is>
          <t>1854 lecture</t>
        </is>
      </c>
    </row>
    <row r="20">
      <c r="A20" s="5" t="inlineStr">
        <is>
          <t>SEGMENT 3 - SENSORIMOTOR ACTION &amp; PHYSICAL EXECUTION (8 containers, 228 sub-parameters)</t>
        </is>
      </c>
      <c r="B20" s="7" t="n"/>
      <c r="C20" s="7" t="n"/>
      <c r="D20" s="7" t="n"/>
      <c r="E20" s="7" t="n"/>
      <c r="F20" s="7" t="n"/>
      <c r="G20" s="7" t="n"/>
      <c r="H20" s="7" t="n"/>
      <c r="I20" s="8" t="n"/>
    </row>
    <row r="21">
      <c r="A21" s="4" t="n">
        <v>17</v>
      </c>
      <c r="B21" s="4" t="inlineStr">
        <is>
          <t>Action Readiness &amp; Affordance Detection</t>
        </is>
      </c>
      <c r="C21" s="4" t="inlineStr">
        <is>
          <t>ACTIVE (in tools)</t>
        </is>
      </c>
      <c r="D21" s="4" t="inlineStr">
        <is>
          <t>'Available-action sensing' ran on instruments-of-thought: he sees what a tool CAN do before its licence is proven (Dirichlet principle as a working device from electrostatics).</t>
        </is>
      </c>
      <c r="E21" s="4" t="inlineStr">
        <is>
          <t>1851/1857: builds proofs on the Dirichlet principle because it visibly WORKS on physical grounds.</t>
        </is>
      </c>
      <c r="F21" s="4" t="inlineStr">
        <is>
          <t>[PARAPHRASE]</t>
        </is>
      </c>
      <c r="G21" s="4" t="inlineStr">
        <is>
          <t>Knowledge, Reward</t>
        </is>
      </c>
      <c r="H21" s="4" t="inlineStr">
        <is>
          <t>H4</t>
        </is>
      </c>
      <c r="I21" s="4" t="inlineStr">
        <is>
          <t>dissertation; Abelian functions</t>
        </is>
      </c>
    </row>
    <row r="22">
      <c r="A22" s="4" t="n">
        <v>18</v>
      </c>
      <c r="B22" s="4" t="inlineStr">
        <is>
          <t>Motor Planning &amp; Sequencing</t>
        </is>
      </c>
      <c r="C22" s="4" t="inlineStr">
        <is>
          <t>UNKNOWN (physical)</t>
        </is>
      </c>
      <c r="D22" s="4" t="inlineStr">
        <is>
          <t>No self-witness on bodily skill; lecture delivery initially halting, later fluent (external witness).</t>
        </is>
      </c>
      <c r="E22" s="4" t="inlineStr">
        <is>
          <t>-</t>
        </is>
      </c>
      <c r="F22" s="4" t="inlineStr">
        <is>
          <t>(external witness)</t>
        </is>
      </c>
      <c r="G22" s="4" t="inlineStr">
        <is>
          <t>Practice</t>
        </is>
      </c>
      <c r="H22" s="4" t="inlineStr">
        <is>
          <t>H1</t>
        </is>
      </c>
      <c r="I22" s="4" t="inlineStr">
        <is>
          <t>open</t>
        </is>
      </c>
    </row>
    <row r="23">
      <c r="A23" s="4" t="n">
        <v>19</v>
      </c>
      <c r="B23" s="4" t="inlineStr">
        <is>
          <t>Motor Execution &amp; Control</t>
        </is>
      </c>
      <c r="C23" s="4" t="inlineStr">
        <is>
          <t>UNKNOWN</t>
        </is>
      </c>
      <c r="D23" s="4" t="inlineStr">
        <is>
          <t>No self-witness.</t>
        </is>
      </c>
      <c r="E23" s="4" t="inlineStr">
        <is>
          <t>-</t>
        </is>
      </c>
      <c r="F23" s="4" t="inlineStr">
        <is>
          <t>-</t>
        </is>
      </c>
      <c r="G23" s="4" t="inlineStr">
        <is>
          <t>-</t>
        </is>
      </c>
      <c r="H23" s="4" t="inlineStr">
        <is>
          <t>H0</t>
        </is>
      </c>
      <c r="I23" s="4" t="inlineStr">
        <is>
          <t>open</t>
        </is>
      </c>
    </row>
    <row r="24">
      <c r="A24" s="4" t="n">
        <v>20</v>
      </c>
      <c r="B24" s="4" t="inlineStr">
        <is>
          <t>Action Selection &amp; Initiation</t>
        </is>
      </c>
      <c r="C24" s="4" t="inlineStr">
        <is>
          <t>INHIBITED (release side)</t>
        </is>
      </c>
      <c r="D24" s="4" t="inlineStr">
        <is>
          <t>'Response threshold' set abnormally high for RELEASE actions: starting work is easy, letting work OUT crosses a ripeness gate most others do not have. 'Action suppression' is his most-exercised sub-parameter.</t>
        </is>
      </c>
      <c r="E24" s="4" t="inlineStr">
        <is>
          <t>1858 electrodynamics: submitted, then pulled back. Nachlass: finished results never sent.</t>
        </is>
      </c>
      <c r="F24" s="4" t="inlineStr">
        <is>
          <t>[VERBATIM] 'vorlaeufig bei Seite gelassen' - the suppression executed in print.</t>
        </is>
      </c>
      <c r="G24" s="4" t="inlineStr">
        <is>
          <t>Personality, Value</t>
        </is>
      </c>
      <c r="H24" s="4" t="inlineStr">
        <is>
          <t>H5</t>
        </is>
      </c>
      <c r="I24" s="4" t="inlineStr">
        <is>
          <t>1859 paper; Nachlass</t>
        </is>
      </c>
    </row>
    <row r="25">
      <c r="A25" s="4" t="n">
        <v>21</v>
      </c>
      <c r="B25" s="4" t="inlineStr">
        <is>
          <t>Coordination, Balance &amp; Posture</t>
        </is>
      </c>
      <c r="C25" s="4" t="inlineStr">
        <is>
          <t>UNKNOWN</t>
        </is>
      </c>
      <c r="D25" s="4" t="inlineStr">
        <is>
          <t>No self-witness.</t>
        </is>
      </c>
      <c r="E25" s="4" t="inlineStr">
        <is>
          <t>-</t>
        </is>
      </c>
      <c r="F25" s="4" t="inlineStr">
        <is>
          <t>-</t>
        </is>
      </c>
      <c r="G25" s="4" t="inlineStr">
        <is>
          <t>-</t>
        </is>
      </c>
      <c r="H25" s="4" t="inlineStr">
        <is>
          <t>H0</t>
        </is>
      </c>
      <c r="I25" s="4" t="inlineStr">
        <is>
          <t>open</t>
        </is>
      </c>
    </row>
    <row r="26">
      <c r="A26" s="4" t="n">
        <v>22</v>
      </c>
      <c r="B26" s="4" t="inlineStr">
        <is>
          <t>Procedural Skill &amp; Automatization</t>
        </is>
      </c>
      <c r="C26" s="4" t="inlineStr">
        <is>
          <t>ACTIVE, heavy</t>
        </is>
      </c>
      <c r="D26" s="4" t="inlineStr">
        <is>
          <t>'Repetition learning -&gt; automatic execution' visible in the Nachlass: pages of hand computation of zeros, error-controlled - calculation running as trained procedure under an analytic mind.</t>
        </is>
      </c>
      <c r="E26" s="4" t="inlineStr">
        <is>
          <t>The private zero-computations with his own asymptotic shortcut (the formula Siegel later recovered).</t>
        </is>
      </c>
      <c r="F26" s="4" t="inlineStr">
        <is>
          <t>(the sheets themselves)</t>
        </is>
      </c>
      <c r="G26" s="4" t="inlineStr">
        <is>
          <t>Practice</t>
        </is>
      </c>
      <c r="H26" s="4" t="inlineStr">
        <is>
          <t>H5</t>
        </is>
      </c>
      <c r="I26" s="4" t="inlineStr">
        <is>
          <t>Siegel 1932</t>
        </is>
      </c>
    </row>
    <row r="27">
      <c r="A27" s="4" t="n">
        <v>23</v>
      </c>
      <c r="B27" s="4" t="inlineStr">
        <is>
          <t>Imitation, Gesture &amp; Tool Manipulation</t>
        </is>
      </c>
      <c r="C27" s="4" t="inlineStr">
        <is>
          <t>ACTIVE (textual)</t>
        </is>
      </c>
      <c r="D27" s="4" t="inlineStr">
        <is>
          <t>'Demonstration following' from masters' TEXTS: he absorbs whole toolkits from Legendre, Gauss, Dirichlet, Euler by reading, then rebuilds them his own way.</t>
        </is>
      </c>
      <c r="E27" s="4" t="inlineStr">
        <is>
          <t>Schoolboy episode: returns Legendre's 859-page number theory in six days - 'I know it by heart' (carrier). The 1859 paper then stands on Gauss-Dirichlet ground, transformed.</t>
        </is>
      </c>
      <c r="F27" s="4" t="inlineStr">
        <is>
          <t>(carrier for the episode)</t>
        </is>
      </c>
      <c r="G27" s="4" t="inlineStr">
        <is>
          <t>Knowledge, Social learning</t>
        </is>
      </c>
      <c r="H27" s="4" t="inlineStr">
        <is>
          <t>H2</t>
        </is>
      </c>
      <c r="I27" s="4" t="inlineStr">
        <is>
          <t>carrier; 1859 opening names Gauss &amp; Dirichlet</t>
        </is>
      </c>
    </row>
    <row r="28">
      <c r="A28" s="4" t="n">
        <v>24</v>
      </c>
      <c r="B28" s="4" t="inlineStr">
        <is>
          <t>Sensorimotor Feedback &amp; Error Correction</t>
        </is>
      </c>
      <c r="C28" s="4" t="inlineStr">
        <is>
          <t>DOMINANT (inner loop)</t>
        </is>
      </c>
      <c r="D28" s="4" t="inlineStr">
        <is>
          <t>'Expected-result comparison' ran continuously against an internal standard higher than any external referee - the correction loop is why nothing left unripe.</t>
        </is>
      </c>
      <c r="E28" s="4" t="inlineStr">
        <is>
          <t>Every withheld manuscript is a correction loop that had not yet closed to HIS threshold.</t>
        </is>
      </c>
      <c r="F28" s="4" t="inlineStr">
        <is>
          <t>[INFERRED from the release pattern + the 1859 halt sentence]</t>
        </is>
      </c>
      <c r="G28" s="4" t="inlineStr">
        <is>
          <t>Personality</t>
        </is>
      </c>
      <c r="H28" s="4" t="inlineStr">
        <is>
          <t>H3</t>
        </is>
      </c>
      <c r="I28" s="4" t="inlineStr">
        <is>
          <t>Nachlass pattern</t>
        </is>
      </c>
    </row>
    <row r="29">
      <c r="A29" s="5" t="inlineStr">
        <is>
          <t>SEGMENT 4 - ATTENTION &amp; EXECUTIVE CONTROL (8 containers, 260 sub-parameters)</t>
        </is>
      </c>
      <c r="B29" s="7" t="n"/>
      <c r="C29" s="7" t="n"/>
      <c r="D29" s="7" t="n"/>
      <c r="E29" s="7" t="n"/>
      <c r="F29" s="7" t="n"/>
      <c r="G29" s="7" t="n"/>
      <c r="H29" s="7" t="n"/>
      <c r="I29" s="8" t="n"/>
    </row>
    <row r="30">
      <c r="A30" s="4" t="n">
        <v>25</v>
      </c>
      <c r="B30" s="4" t="inlineStr">
        <is>
          <t>Selective Attention</t>
        </is>
      </c>
      <c r="C30" s="4" t="inlineStr">
        <is>
          <t>DOMINANT</t>
        </is>
      </c>
      <c r="D30" s="4" t="inlineStr">
        <is>
          <t>'Goal-based focus' single-threaded and deep: one object held for months-years; 'distractor suppression' near-total during bouts.</t>
        </is>
      </c>
      <c r="E30" s="4" t="inlineStr">
        <is>
          <t>Years on Abelian functions; the four-wing program held across a decade of fragments.</t>
        </is>
      </c>
      <c r="F30" s="4" t="inlineStr">
        <is>
          <t>(the corpus shape itself)</t>
        </is>
      </c>
      <c r="G30" s="4" t="inlineStr">
        <is>
          <t>Attention, Complexity</t>
        </is>
      </c>
      <c r="H30" s="4" t="inlineStr">
        <is>
          <t>H3</t>
        </is>
      </c>
      <c r="I30" s="4" t="inlineStr">
        <is>
          <t>Werke</t>
        </is>
      </c>
    </row>
    <row r="31">
      <c r="A31" s="4" t="n">
        <v>26</v>
      </c>
      <c r="B31" s="4" t="inlineStr">
        <is>
          <t>Sustained Attention &amp; Vigilance</t>
        </is>
      </c>
      <c r="C31" s="4" t="inlineStr">
        <is>
          <t>ACTIVE at cost</t>
        </is>
      </c>
      <c r="D31" s="4" t="inlineStr">
        <is>
          <t>'Continued monitoring' superb in bouts; 'lapse detection' outsourced to collapse - the body ended watches the will would not.</t>
        </is>
      </c>
      <c r="E31" s="4" t="inlineStr">
        <is>
          <t>Post-1857 exhaustion; friends impose breaks (carrier).</t>
        </is>
      </c>
      <c r="F31" s="4" t="inlineStr">
        <is>
          <t>(carrier)</t>
        </is>
      </c>
      <c r="G31" s="4" t="inlineStr">
        <is>
          <t>Energy, Stress</t>
        </is>
      </c>
      <c r="H31" s="4" t="inlineStr">
        <is>
          <t>H2</t>
        </is>
      </c>
      <c r="I31" s="4" t="inlineStr">
        <is>
          <t>carrier</t>
        </is>
      </c>
    </row>
    <row r="32">
      <c r="A32" s="4" t="n">
        <v>27</v>
      </c>
      <c r="B32" s="4" t="inlineStr">
        <is>
          <t>Divided Attention &amp; Switching</t>
        </is>
      </c>
      <c r="C32" s="4" t="inlineStr">
        <is>
          <t>INHIBITED / avoided</t>
        </is>
      </c>
      <c r="D32" s="4" t="inlineStr">
        <is>
          <t>'Dual-task management' consciously minimized: serial worker; teaching early on cost him visibly; switching price paid rarely and reluctantly.</t>
        </is>
      </c>
      <c r="E32" s="4" t="inlineStr">
        <is>
          <t>Privatdozent years: lecture duties vs research - he narrows rather than parallelizes.</t>
        </is>
      </c>
      <c r="F32" s="4" t="inlineStr">
        <is>
          <t>(carrier)</t>
        </is>
      </c>
      <c r="G32" s="4" t="inlineStr">
        <is>
          <t>Time, Scarcity</t>
        </is>
      </c>
      <c r="H32" s="4" t="inlineStr">
        <is>
          <t>H2</t>
        </is>
      </c>
      <c r="I32" s="4" t="inlineStr">
        <is>
          <t>carrier</t>
        </is>
      </c>
    </row>
    <row r="33">
      <c r="A33" s="4" t="n">
        <v>28</v>
      </c>
      <c r="B33" s="4" t="inlineStr">
        <is>
          <t>Working Memory</t>
        </is>
      </c>
      <c r="C33" s="4" t="inlineStr">
        <is>
          <t>DOMINANT</t>
        </is>
      </c>
      <c r="D33" s="4" t="inlineStr">
        <is>
          <t>'Manipulation + interference control' at prodigy level: multi-layer derivations held live; whole books internalized ('by heart').</t>
        </is>
      </c>
      <c r="E33" s="4" t="inlineStr">
        <is>
          <t>Legendre in six days; the 1859 paper compresses a research programme into 8 pages - held whole while written.</t>
        </is>
      </c>
      <c r="F33" s="4" t="inlineStr">
        <is>
          <t>(carrier + the papers)</t>
        </is>
      </c>
      <c r="G33" s="4" t="inlineStr">
        <is>
          <t>Knowledge</t>
        </is>
      </c>
      <c r="H33" s="4" t="inlineStr">
        <is>
          <t>H3</t>
        </is>
      </c>
      <c r="I33" s="4" t="inlineStr">
        <is>
          <t>carrier; 1859 paper</t>
        </is>
      </c>
    </row>
    <row r="34">
      <c r="A34" s="4" t="n">
        <v>29</v>
      </c>
      <c r="B34" s="4" t="inlineStr">
        <is>
          <t>Inhibitory Control &amp; Self-Control</t>
        </is>
      </c>
      <c r="C34" s="4" t="inlineStr">
        <is>
          <t>DOMINANT</t>
        </is>
      </c>
      <c r="D34" s="4" t="inlineStr">
        <is>
          <t>'Delayed gratification' as career policy: fame deferred for ripeness; 'emotional inhibition' high in public; 'rule maintenance' = never claim beyond warrant.</t>
        </is>
      </c>
      <c r="E34" s="4" t="inlineStr">
        <is>
          <t>Sat on results others would have printed for priority; his hypothesis published with its probability priced, no more.</t>
        </is>
      </c>
      <c r="F34" s="4" t="inlineStr">
        <is>
          <t>[VERBATIM] 'sehr wahrscheinlich' - inhibition applied to a claim.</t>
        </is>
      </c>
      <c r="G34" s="4" t="inlineStr">
        <is>
          <t>Personality, Value</t>
        </is>
      </c>
      <c r="H34" s="4" t="inlineStr">
        <is>
          <t>H5</t>
        </is>
      </c>
      <c r="I34" s="4" t="inlineStr">
        <is>
          <t>1859 paper</t>
        </is>
      </c>
    </row>
    <row r="35">
      <c r="A35" s="4" t="n">
        <v>30</v>
      </c>
      <c r="B35" s="4" t="inlineStr">
        <is>
          <t>Cognitive Flexibility</t>
        </is>
      </c>
      <c r="C35" s="4" t="inlineStr">
        <is>
          <t>DOMINANT (frame level)</t>
        </is>
      </c>
      <c r="D35" s="4" t="inlineStr">
        <is>
          <t>'Reframing' is his weapon-of-choice: not solving inside the frame but replacing the FRAME (axioms-&gt;hypotheses; formulas-&gt;surfaces; force-at-distance-&gt;propagation).</t>
        </is>
      </c>
      <c r="E35" s="4" t="inlineStr">
        <is>
          <t>1854: geometry's axioms demoted to hypotheses among possible metrics, testable.</t>
        </is>
      </c>
      <c r="F35" s="4" t="inlineStr">
        <is>
          <t>[VERBATIM] title itself: 'Ueber die HYPOTHESEN, welche der Geometrie zu Grunde liegen.'</t>
        </is>
      </c>
      <c r="G35" s="4" t="inlineStr">
        <is>
          <t>Framing, Belief</t>
        </is>
      </c>
      <c r="H35" s="4" t="inlineStr">
        <is>
          <t>H6</t>
        </is>
      </c>
      <c r="I35" s="4" t="inlineStr">
        <is>
          <t>1854 lecture</t>
        </is>
      </c>
    </row>
    <row r="36">
      <c r="A36" s="4" t="n">
        <v>31</v>
      </c>
      <c r="B36" s="4" t="inlineStr">
        <is>
          <t>Executive Sequencing &amp; Task Management</t>
        </is>
      </c>
      <c r="C36" s="4" t="inlineStr">
        <is>
          <t>ACTIVE, plan-led</t>
        </is>
      </c>
      <c r="D36" s="4" t="inlineStr">
        <is>
          <t>'Goal decomposition' EXPLICIT in his openings: he states a Plan der Untersuchung, then executes it in order - the declared sequence is the contract.</t>
        </is>
      </c>
      <c r="E36" s="4" t="inlineStr">
        <is>
          <t>1854 lecture announces its three-part plan and walks it exactly.</t>
        </is>
      </c>
      <c r="F36" s="4" t="inlineStr">
        <is>
          <t>[PARAPHRASE] 'Plan der Untersuchung'.</t>
        </is>
      </c>
      <c r="G36" s="4" t="inlineStr">
        <is>
          <t>Instruction</t>
        </is>
      </c>
      <c r="H36" s="4" t="inlineStr">
        <is>
          <t>H5</t>
        </is>
      </c>
      <c r="I36" s="4" t="inlineStr">
        <is>
          <t>1854 lecture structure</t>
        </is>
      </c>
    </row>
    <row r="37">
      <c r="A37" s="4" t="n">
        <v>32</v>
      </c>
      <c r="B37" s="4" t="inlineStr">
        <is>
          <t>Conflict, Error &amp; Performance Monitoring</t>
        </is>
      </c>
      <c r="C37" s="4" t="inlineStr">
        <is>
          <t>OVERDRIVEN</t>
        </is>
      </c>
      <c r="D37" s="4" t="inlineStr">
        <is>
          <t>'Mismatch detection' never off - source of BOTH his rigor and his withholding. 'Error awareness vs acceptance': he detects instantly, accepts publicly only when forced by his own standard being met.</t>
        </is>
      </c>
      <c r="E37" s="4" t="inlineStr">
        <is>
          <t>The zeta paper names its own unproven steps in-line rather than hiding them.</t>
        </is>
      </c>
      <c r="F37" s="4" t="inlineStr">
        <is>
          <t>[VERBATIM] the halt sentence again - error monitoring printed.</t>
        </is>
      </c>
      <c r="G37" s="4" t="inlineStr">
        <is>
          <t>Personality</t>
        </is>
      </c>
      <c r="H37" s="4" t="inlineStr">
        <is>
          <t>H5</t>
        </is>
      </c>
      <c r="I37" s="4" t="inlineStr">
        <is>
          <t>1859 paper</t>
        </is>
      </c>
    </row>
    <row r="38">
      <c r="A38" s="5" t="inlineStr">
        <is>
          <t>SEGMENT 5 - LEARNING, MEMORY &amp; KNOWLEDGE (8 containers, 264 sub-parameters)</t>
        </is>
      </c>
      <c r="B38" s="7" t="n"/>
      <c r="C38" s="7" t="n"/>
      <c r="D38" s="7" t="n"/>
      <c r="E38" s="7" t="n"/>
      <c r="F38" s="7" t="n"/>
      <c r="G38" s="7" t="n"/>
      <c r="H38" s="7" t="n"/>
      <c r="I38" s="8" t="n"/>
    </row>
    <row r="39">
      <c r="A39" s="4" t="n">
        <v>33</v>
      </c>
      <c r="B39" s="4" t="inlineStr">
        <is>
          <t>Episodic Memory</t>
        </is>
      </c>
      <c r="C39" s="4" t="inlineStr">
        <is>
          <t>ACTIVE, grief-weighted</t>
        </is>
      </c>
      <c r="D39" s="4" t="inlineStr">
        <is>
          <t>'Autobiographical episodes' organized around the family deaths cluster; place-memory strong (Quickborn home as anchor he returns to).</t>
        </is>
      </c>
      <c r="E39" s="4" t="inlineStr">
        <is>
          <t>Returns home around family losses 1855-57; the darkest period follows.</t>
        </is>
      </c>
      <c r="F39" s="4" t="inlineStr">
        <is>
          <t>(carrier)</t>
        </is>
      </c>
      <c r="G39" s="4" t="inlineStr">
        <is>
          <t>Trauma, Relationship</t>
        </is>
      </c>
      <c r="H39" s="4" t="inlineStr">
        <is>
          <t>H2</t>
        </is>
      </c>
      <c r="I39" s="4" t="inlineStr">
        <is>
          <t>carrier</t>
        </is>
      </c>
    </row>
    <row r="40">
      <c r="A40" s="4" t="n">
        <v>34</v>
      </c>
      <c r="B40" s="4" t="inlineStr">
        <is>
          <t>Semantic Memory &amp; General Knowledge</t>
        </is>
      </c>
      <c r="C40" s="4" t="inlineStr">
        <is>
          <t>DOMINANT</t>
        </is>
      </c>
      <c r="D40" s="4" t="inlineStr">
        <is>
          <t>'Schemas + cultural knowledge' across theology, philology, philosophy, physics, mathematics - the integration surface for the four wings. Reading Herbart restructured his psychology; Newton/Euler his physics.</t>
        </is>
      </c>
      <c r="E40" s="4" t="inlineStr">
        <is>
          <t>The Hauptarbeit fragment NAMES its semantic sources: Newton, Euler, Herbart.</t>
        </is>
      </c>
      <c r="F40" s="4" t="inlineStr">
        <is>
          <t>[VERBATIM] '... durch das Studium der Werke Newton's, Euler's und - anderseits - Herbart's gefuehrt.'</t>
        </is>
      </c>
      <c r="G40" s="4" t="inlineStr">
        <is>
          <t>Knowledge, Belief</t>
        </is>
      </c>
      <c r="H40" s="4" t="inlineStr">
        <is>
          <t>H6</t>
        </is>
      </c>
      <c r="I40" s="4" t="inlineStr">
        <is>
          <t>Hauptarbeit fragment</t>
        </is>
      </c>
    </row>
    <row r="41">
      <c r="A41" s="4" t="n">
        <v>35</v>
      </c>
      <c r="B41" s="4" t="inlineStr">
        <is>
          <t>Procedural &amp; Habit Memory</t>
        </is>
      </c>
      <c r="C41" s="4" t="inlineStr">
        <is>
          <t>ACTIVE</t>
        </is>
      </c>
      <c r="D41" s="4" t="inlineStr">
        <is>
          <t>Computation and languages run 'without conscious verbal recall'; his asymptotic shortcut is procedure crystallized from practice.</t>
        </is>
      </c>
      <c r="E41" s="4" t="inlineStr">
        <is>
          <t>Nachlass computation style: stable private procedures repeated across sheets.</t>
        </is>
      </c>
      <c r="F41" s="4" t="inlineStr">
        <is>
          <t>(sheets)</t>
        </is>
      </c>
      <c r="G41" s="4" t="inlineStr">
        <is>
          <t>Practice</t>
        </is>
      </c>
      <c r="H41" s="4" t="inlineStr">
        <is>
          <t>H4</t>
        </is>
      </c>
      <c r="I41" s="4" t="inlineStr">
        <is>
          <t>Siegel 1932</t>
        </is>
      </c>
    </row>
    <row r="42">
      <c r="A42" s="4" t="n">
        <v>36</v>
      </c>
      <c r="B42" s="4" t="inlineStr">
        <is>
          <t>Associative Learning &amp; Conditioning</t>
        </is>
      </c>
      <c r="C42" s="4" t="inlineStr">
        <is>
          <t>DOMINANT (cross-domain)</t>
        </is>
      </c>
      <c r="D42" s="4" t="inlineStr">
        <is>
          <t>'Cue prediction + generalisation' across domains is the engine: electrostatics cues function theory (Dirichlet principle); sound cues mechanics (ear); psychology cues physics (Geistesmassen ether-flow images in the fragments).</t>
        </is>
      </c>
      <c r="E42" s="4" t="inlineStr">
        <is>
          <t>Physical analogy repeatedly seeds mathematical structure, then gets rigorized - or halted if it cannot be.</t>
        </is>
      </c>
      <c r="F42" s="4" t="inlineStr">
        <is>
          <t>[PARAPHRASE] fragments' physics-psychology crossovers.</t>
        </is>
      </c>
      <c r="G42" s="4" t="inlineStr">
        <is>
          <t>Knowledge</t>
        </is>
      </c>
      <c r="H42" s="4" t="inlineStr">
        <is>
          <t>H4</t>
        </is>
      </c>
      <c r="I42" s="4" t="inlineStr">
        <is>
          <t>Werke, fragments</t>
        </is>
      </c>
    </row>
    <row r="43">
      <c r="A43" s="4" t="n">
        <v>37</v>
      </c>
      <c r="B43" s="4" t="inlineStr">
        <is>
          <t>Reinforcement &amp; Reward Learning</t>
        </is>
      </c>
      <c r="C43" s="4" t="inlineStr">
        <is>
          <t>ACTIVE, sparse-reward</t>
        </is>
      </c>
      <c r="D43" s="4" t="inlineStr">
        <is>
          <t>'Reward prediction' tuned to RARE, high-value signals: Gauss's praise (almost never given to anyone) after 1854; truth-clicks over applause. 'Exploration/exploitation' skewed hard to exploration.</t>
        </is>
      </c>
      <c r="E43" s="4" t="inlineStr">
        <is>
          <t>Gauss, uncharacteristically stirred, praises the 1854 lecture to Weber walking home (external witness, capped).</t>
        </is>
      </c>
      <c r="F43" s="4" t="inlineStr">
        <is>
          <t>(external witness)</t>
        </is>
      </c>
      <c r="G43" s="4" t="inlineStr">
        <is>
          <t>Reward, Status</t>
        </is>
      </c>
      <c r="H43" s="4" t="inlineStr">
        <is>
          <t>H2</t>
        </is>
      </c>
      <c r="I43" s="4" t="inlineStr">
        <is>
          <t>reported via Weber circle</t>
        </is>
      </c>
    </row>
    <row r="44">
      <c r="A44" s="4" t="n">
        <v>38</v>
      </c>
      <c r="B44" s="4" t="inlineStr">
        <is>
          <t>Emotional &amp; Threat Memory</t>
        </is>
      </c>
      <c r="C44" s="4" t="inlineStr">
        <is>
          <t>ACTIVE</t>
        </is>
      </c>
      <c r="D44" s="4" t="inlineStr">
        <is>
          <t>'Fear memory': poverty and illness durably encoded from childhood (a poor pastor's house, frail family health); shapes the scarcity filter permanently.</t>
        </is>
      </c>
      <c r="E44" s="4" t="inlineStr">
        <is>
          <t>Lifelong money-anxiety pattern: stipends, tutoring, provision for sisters before self.</t>
        </is>
      </c>
      <c r="F44" s="4" t="inlineStr">
        <is>
          <t>(carrier)</t>
        </is>
      </c>
      <c r="G44" s="4" t="inlineStr">
        <is>
          <t>Scarcity, Trauma</t>
        </is>
      </c>
      <c r="H44" s="4" t="inlineStr">
        <is>
          <t>H2</t>
        </is>
      </c>
      <c r="I44" s="4" t="inlineStr">
        <is>
          <t>carrier</t>
        </is>
      </c>
    </row>
    <row r="45">
      <c r="A45" s="4" t="n">
        <v>39</v>
      </c>
      <c r="B45" s="4" t="inlineStr">
        <is>
          <t>Prospective Memory</t>
        </is>
      </c>
      <c r="C45" s="4" t="inlineStr">
        <is>
          <t>ACTIVE, over-committed</t>
        </is>
      </c>
      <c r="D45" s="4" t="inlineStr">
        <is>
          <t>'Delayed commitments' accumulate: the promised psychology supplement, the withheld electrodynamics to revisit, the Hauptarbeit - a ledger of intended returns that death struck.</t>
        </is>
      </c>
      <c r="E45" s="4" t="inlineStr">
        <is>
          <t>The fragments carry forward-references to treatments 'later' that never came.</t>
        </is>
      </c>
      <c r="F45" s="4" t="inlineStr">
        <is>
          <t>[PARAPHRASE] the hoped-for return in the fragments.</t>
        </is>
      </c>
      <c r="G45" s="4" t="inlineStr">
        <is>
          <t>Time, Biological</t>
        </is>
      </c>
      <c r="H45" s="4" t="inlineStr">
        <is>
          <t>H4</t>
        </is>
      </c>
      <c r="I45" s="4" t="inlineStr">
        <is>
          <t>fragments</t>
        </is>
      </c>
    </row>
    <row r="46">
      <c r="A46" s="4" t="n">
        <v>40</v>
      </c>
      <c r="B46" s="4" t="inlineStr">
        <is>
          <t>Encoding, Consolidation, Retrieval &amp; Forgetting</t>
        </is>
      </c>
      <c r="C46" s="4" t="inlineStr">
        <is>
          <t>DOMINANT - and THEORIZED BY HIM</t>
        </is>
      </c>
      <c r="D46" s="4" t="inlineStr">
        <is>
          <t>He did not just HAVE this container - he WROTE ITS LAW: every thought-act deposits something permanent; nothing once formed perishes. His memory doctrine = the owner's 'brains are memory'.</t>
        </is>
      </c>
      <c r="E46" s="4" t="inlineStr">
        <is>
          <t>The Geistesmassen fragment is a 19th-century draft of container 40's own manual.</t>
        </is>
      </c>
      <c r="F46" s="4" t="inlineStr">
        <is>
          <t>[VERBATIM] 'Mit jedem einfachen Denkacte tritt etwas Bleibendes, Substantielles in unsere Seele ein.'</t>
        </is>
      </c>
      <c r="G46" s="4" t="inlineStr">
        <is>
          <t>Belief</t>
        </is>
      </c>
      <c r="H46" s="4" t="inlineStr">
        <is>
          <t>H5</t>
        </is>
      </c>
      <c r="I46" s="4" t="inlineStr">
        <is>
          <t>Geistesmassen fragment</t>
        </is>
      </c>
    </row>
    <row r="47">
      <c r="A47" s="5" t="inlineStr">
        <is>
          <t>SEGMENT 6 - REASONING, PLANNING, DECISION &amp; CREATIVITY (8 containers, 292 sub-parameters)</t>
        </is>
      </c>
      <c r="B47" s="7" t="n"/>
      <c r="C47" s="7" t="n"/>
      <c r="D47" s="7" t="n"/>
      <c r="E47" s="7" t="n"/>
      <c r="F47" s="7" t="n"/>
      <c r="G47" s="7" t="n"/>
      <c r="H47" s="7" t="n"/>
      <c r="I47" s="8" t="n"/>
    </row>
    <row r="48">
      <c r="A48" s="4" t="n">
        <v>41</v>
      </c>
      <c r="B48" s="4" t="inlineStr">
        <is>
          <t>Concept Formation &amp; Abstraction</t>
        </is>
      </c>
      <c r="C48" s="4" t="inlineStr">
        <is>
          <t>DOMINANT - the crown container</t>
        </is>
      </c>
      <c r="D48" s="4" t="inlineStr">
        <is>
          <t>'Category formation at the boundary': his declared method IS new ground-concepts (Grundbegriffe) - Mannigfaltigkeit, connectivity, curvature-of-any-space. Abstraction level: maximum available in his century.</t>
        </is>
      </c>
      <c r="E48" s="4" t="inlineStr">
        <is>
          <t>Invents the manifold to dissolve the space-problem; invents surface-sheets to dissolve multivaluedness.</t>
        </is>
      </c>
      <c r="F48" s="4" t="inlineStr">
        <is>
          <t>[VERBATIM] 'Ausdruecke derselben mittelst anderer Grundbegriffe' - his self-description.</t>
        </is>
      </c>
      <c r="G48" s="4" t="inlineStr">
        <is>
          <t>Framing, Knowledge</t>
        </is>
      </c>
      <c r="H48" s="4" t="inlineStr">
        <is>
          <t>H6</t>
        </is>
      </c>
      <c r="I48" s="4" t="inlineStr">
        <is>
          <t>Hauptarbeit fragment + 1854</t>
        </is>
      </c>
    </row>
    <row r="49">
      <c r="A49" s="4" t="n">
        <v>42</v>
      </c>
      <c r="B49" s="4" t="inlineStr">
        <is>
          <t>Core Reasoning</t>
        </is>
      </c>
      <c r="C49" s="4" t="inlineStr">
        <is>
          <t>DOMINANT</t>
        </is>
      </c>
      <c r="D49" s="4" t="inlineStr">
        <is>
          <t>'Abduction + deduction' in series: physical/geometric abduction finds the shape, deduction then secures what it can, and what it cannot secure gets NAMED as unsecured (his printed gaps).</t>
        </is>
      </c>
      <c r="E49" s="4" t="inlineStr">
        <is>
          <t>1859: term-by-term steps he could not fully justify are carried with flags, not silently.</t>
        </is>
      </c>
      <c r="F49" s="4" t="inlineStr">
        <is>
          <t>[VERBATIM] the in-text caveats of the zeta paper.</t>
        </is>
      </c>
      <c r="G49" s="4" t="inlineStr">
        <is>
          <t>Uncertainty</t>
        </is>
      </c>
      <c r="H49" s="4" t="inlineStr">
        <is>
          <t>H5</t>
        </is>
      </c>
      <c r="I49" s="4" t="inlineStr">
        <is>
          <t>1859 paper</t>
        </is>
      </c>
    </row>
    <row r="50">
      <c r="A50" s="4" t="n">
        <v>43</v>
      </c>
      <c r="B50" s="4" t="inlineStr">
        <is>
          <t>Causal, Counterfactual &amp; Predictive Reasoning</t>
        </is>
      </c>
      <c r="C50" s="4" t="inlineStr">
        <is>
          <t>DOMINANT</t>
        </is>
      </c>
      <c r="D50" s="4" t="inlineStr">
        <is>
          <t>'Mechanism inference': action-at-a-distance replaced by propagation at light-speed (1858) - causal remodel BEFORE the data demanded it; prediction ahead of confirmation.</t>
        </is>
      </c>
      <c r="E50" s="4" t="inlineStr">
        <is>
          <t>The withdrawn electrodynamics note anticipates the field's direction by years.</t>
        </is>
      </c>
      <c r="F50" s="4" t="inlineStr">
        <is>
          <t>[PARAPHRASE]</t>
        </is>
      </c>
      <c r="G50" s="4" t="inlineStr">
        <is>
          <t>Knowledge</t>
        </is>
      </c>
      <c r="H50" s="4" t="inlineStr">
        <is>
          <t>H5</t>
        </is>
      </c>
      <c r="I50" s="4" t="inlineStr">
        <is>
          <t>1858 note (posth.)</t>
        </is>
      </c>
    </row>
    <row r="51">
      <c r="A51" s="4" t="n">
        <v>44</v>
      </c>
      <c r="B51" s="4" t="inlineStr">
        <is>
          <t>Uncertainty, Probability &amp; Confidence</t>
        </is>
      </c>
      <c r="C51" s="4" t="inlineStr">
        <is>
          <t>DOMINANT, calibrated</t>
        </is>
      </c>
      <c r="D51" s="4" t="inlineStr">
        <is>
          <t>'Confidence' priced and PRINTED: very probable - not certain, not proven; 'evidence strength' privately grounded (his computations) before public probability stated.</t>
        </is>
      </c>
      <c r="E51" s="4" t="inlineStr">
        <is>
          <t>The RH sentence + the private Nachlass arithmetic behind it.</t>
        </is>
      </c>
      <c r="F51" s="4" t="inlineStr">
        <is>
          <t>[VERBATIM] 'sehr wahrscheinlich'.</t>
        </is>
      </c>
      <c r="G51" s="4" t="inlineStr">
        <is>
          <t>Uncertainty</t>
        </is>
      </c>
      <c r="H51" s="4" t="inlineStr">
        <is>
          <t>H6</t>
        </is>
      </c>
      <c r="I51" s="4" t="inlineStr">
        <is>
          <t>1859 + Siegel 1932</t>
        </is>
      </c>
    </row>
    <row r="52">
      <c r="A52" s="4" t="n">
        <v>45</v>
      </c>
      <c r="B52" s="4" t="inlineStr">
        <is>
          <t>Problem Framing &amp; Decomposition</t>
        </is>
      </c>
      <c r="C52" s="4" t="inlineStr">
        <is>
          <t>DOMINANT</t>
        </is>
      </c>
      <c r="D52" s="4" t="inlineStr">
        <is>
          <t>'Root-cause separation' applied to QUESTIONS themselves: before solving, he asks whether the question is standing on an unexamined given ('wrong-question' detection, the owner's Resolution-Gateway, run in 1854).</t>
        </is>
      </c>
      <c r="E52" s="4" t="inlineStr">
        <is>
          <t>1854 reframes 'which geometry is true' into 'what ARE the hypotheses beneath any geometry'.</t>
        </is>
      </c>
      <c r="F52" s="4" t="inlineStr">
        <is>
          <t>[VERBATIM] the lecture title.</t>
        </is>
      </c>
      <c r="G52" s="4" t="inlineStr">
        <is>
          <t>Framing</t>
        </is>
      </c>
      <c r="H52" s="4" t="inlineStr">
        <is>
          <t>H6</t>
        </is>
      </c>
      <c r="I52" s="4" t="inlineStr">
        <is>
          <t>1854</t>
        </is>
      </c>
    </row>
    <row r="53">
      <c r="A53" s="4" t="n">
        <v>46</v>
      </c>
      <c r="B53" s="4" t="inlineStr">
        <is>
          <t>Planning, Strategy &amp; Future Simulation</t>
        </is>
      </c>
      <c r="C53" s="4" t="inlineStr">
        <is>
          <t>ACTIVE, under-resourced</t>
        </is>
      </c>
      <c r="D53" s="4" t="inlineStr">
        <is>
          <t>'Goal hierarchy' vast (four wings), 'resource allocation' impossible: health, money, 39 years. 'Contingency planning' = the drawer: unripe work stored, not destroyed.</t>
        </is>
      </c>
      <c r="E53" s="4" t="inlineStr">
        <is>
          <t>The Nachlass as the contingency store; the fragments as the program's skeleton.</t>
        </is>
      </c>
      <c r="F53" s="4" t="inlineStr">
        <is>
          <t>[INFERRED from the fragments' breadth vs the publication list]</t>
        </is>
      </c>
      <c r="G53" s="4" t="inlineStr">
        <is>
          <t>Scarcity, Time, Biological</t>
        </is>
      </c>
      <c r="H53" s="4" t="inlineStr">
        <is>
          <t>H3</t>
        </is>
      </c>
      <c r="I53" s="4" t="inlineStr">
        <is>
          <t>Werke vs Nachlass</t>
        </is>
      </c>
    </row>
    <row r="54">
      <c r="A54" s="4" t="n">
        <v>47</v>
      </c>
      <c r="B54" s="4" t="inlineStr">
        <is>
          <t>Decision, Judgment &amp; Trade-off Intelligence</t>
        </is>
      </c>
      <c r="C54" s="4" t="inlineStr">
        <is>
          <t>ACTIVE, asymmetric</t>
        </is>
      </c>
      <c r="D54" s="4" t="inlineStr">
        <is>
          <t>'Reversibility' governed him: publishing is one-way, so gated hard; thinking is two-way, so unlimited. Content-decisions bold, release-decisions conservative - one brain, two thresholds.</t>
        </is>
      </c>
      <c r="E54" s="4" t="inlineStr">
        <is>
          <t>Bold: manifolds, hypotheses-not-axioms. Conservative: 1858 pulled back; hypothesis priced, not claimed.</t>
        </is>
      </c>
      <c r="F54" s="4" t="inlineStr">
        <is>
          <t>[INFERRED from the pattern]</t>
        </is>
      </c>
      <c r="G54" s="4" t="inlineStr">
        <is>
          <t>Value, Personality</t>
        </is>
      </c>
      <c r="H54" s="4" t="inlineStr">
        <is>
          <t>H3</t>
        </is>
      </c>
      <c r="I54" s="4" t="inlineStr">
        <is>
          <t>the record</t>
        </is>
      </c>
    </row>
    <row r="55">
      <c r="A55" s="4" t="n">
        <v>48</v>
      </c>
      <c r="B55" s="4" t="inlineStr">
        <is>
          <t>Creativity, Imagination &amp; Invention</t>
        </is>
      </c>
      <c r="C55" s="4" t="inlineStr">
        <is>
          <t>DOMINANT</t>
        </is>
      </c>
      <c r="D55" s="4" t="inlineStr">
        <is>
          <t>'Constraint-breaking + convergence' both maxed: invents objects (surfaces, metrics, the zeta landscape) AND converges them into usable theory. Novelty always harnessed to a load.</t>
        </is>
      </c>
      <c r="E55" s="4" t="inlineStr">
        <is>
          <t>The 1859 paper: an invented landscape immediately made to carry the prime count.</t>
        </is>
      </c>
      <c r="F55" s="4" t="inlineStr">
        <is>
          <t>(the works)</t>
        </is>
      </c>
      <c r="G55" s="4" t="inlineStr">
        <is>
          <t>-</t>
        </is>
      </c>
      <c r="H55" s="4" t="inlineStr">
        <is>
          <t>H6</t>
        </is>
      </c>
      <c r="I55" s="4" t="inlineStr">
        <is>
          <t>Werke</t>
        </is>
      </c>
    </row>
    <row r="56">
      <c r="A56" s="5" t="inlineStr">
        <is>
          <t>SEGMENT 7 - LANGUAGE &amp; COMMUNICATION (8 containers, 248 sub-parameters)</t>
        </is>
      </c>
      <c r="B56" s="7" t="n"/>
      <c r="C56" s="7" t="n"/>
      <c r="D56" s="7" t="n"/>
      <c r="E56" s="7" t="n"/>
      <c r="F56" s="7" t="n"/>
      <c r="G56" s="7" t="n"/>
      <c r="H56" s="7" t="n"/>
      <c r="I56" s="8" t="n"/>
    </row>
    <row r="57">
      <c r="A57" s="4" t="n">
        <v>49</v>
      </c>
      <c r="B57" s="4" t="inlineStr">
        <is>
          <t>Speech &amp; Language-Signal Recognition</t>
        </is>
      </c>
      <c r="C57" s="4" t="inlineStr">
        <is>
          <t>UNKNOWN</t>
        </is>
      </c>
      <c r="D57" s="4" t="inlineStr">
        <is>
          <t>No self-witness.</t>
        </is>
      </c>
      <c r="E57" s="4" t="inlineStr">
        <is>
          <t>-</t>
        </is>
      </c>
      <c r="F57" s="4" t="inlineStr">
        <is>
          <t>-</t>
        </is>
      </c>
      <c r="G57" s="4" t="inlineStr">
        <is>
          <t>-</t>
        </is>
      </c>
      <c r="H57" s="4" t="inlineStr">
        <is>
          <t>H0</t>
        </is>
      </c>
      <c r="I57" s="4" t="inlineStr">
        <is>
          <t>open</t>
        </is>
      </c>
    </row>
    <row r="58">
      <c r="A58" s="4" t="n">
        <v>50</v>
      </c>
      <c r="B58" s="4" t="inlineStr">
        <is>
          <t>Lexical &amp; Semantic Access</t>
        </is>
      </c>
      <c r="C58" s="4" t="inlineStr">
        <is>
          <t>ACTIVE</t>
        </is>
      </c>
      <c r="D58" s="4" t="inlineStr">
        <is>
          <t>Multilingual access (Latin, Greek schooling; Italian acquired for the late journeys); precision-first word choice in German.</t>
        </is>
      </c>
      <c r="E58" s="4" t="inlineStr">
        <is>
          <t>Gymnasium classical training; Italy years.</t>
        </is>
      </c>
      <c r="F58" s="4" t="inlineStr">
        <is>
          <t>(record)</t>
        </is>
      </c>
      <c r="G58" s="4" t="inlineStr">
        <is>
          <t>Knowledge</t>
        </is>
      </c>
      <c r="H58" s="4" t="inlineStr">
        <is>
          <t>H2</t>
        </is>
      </c>
      <c r="I58" s="4" t="inlineStr">
        <is>
          <t>biographical record</t>
        </is>
      </c>
    </row>
    <row r="59">
      <c r="A59" s="4" t="n">
        <v>51</v>
      </c>
      <c r="B59" s="4" t="inlineStr">
        <is>
          <t>Syntax &amp; Grammar</t>
        </is>
      </c>
      <c r="C59" s="4" t="inlineStr">
        <is>
          <t>ACTIVE, precision-serving</t>
        </is>
      </c>
      <c r="D59" s="4" t="inlineStr">
        <is>
          <t>Long, exact, qualification-laden periods - grammar as an instrument of exactness, clauses carrying the error-bars.</t>
        </is>
      </c>
      <c r="E59" s="4" t="inlineStr">
        <is>
          <t>The 1859 halt sentence: one sentence holding desire, attempts, provisionality, and justification in strict order.</t>
        </is>
      </c>
      <c r="F59" s="4" t="inlineStr">
        <is>
          <t>[VERBATIM] (see HIS WORDS FIRST row 5)</t>
        </is>
      </c>
      <c r="G59" s="4" t="inlineStr">
        <is>
          <t>-</t>
        </is>
      </c>
      <c r="H59" s="4" t="inlineStr">
        <is>
          <t>H5</t>
        </is>
      </c>
      <c r="I59" s="4" t="inlineStr">
        <is>
          <t>1859</t>
        </is>
      </c>
    </row>
    <row r="60">
      <c r="A60" s="4" t="n">
        <v>52</v>
      </c>
      <c r="B60" s="4" t="inlineStr">
        <is>
          <t>Comprehension &amp; Discourse Integration</t>
        </is>
      </c>
      <c r="C60" s="4" t="inlineStr">
        <is>
          <t>DOMINANT</t>
        </is>
      </c>
      <c r="D60" s="4" t="inlineStr">
        <is>
          <t>'Implied conclusion' extraction across domains: reads Herbart's psychology and extracts a physics; reads Newton and extracts a program.</t>
        </is>
      </c>
      <c r="E60" s="4" t="inlineStr">
        <is>
          <t>The fragments explicitly braid Herbart into natural law.</t>
        </is>
      </c>
      <c r="F60" s="4" t="inlineStr">
        <is>
          <t>[VERBATIM] '... und - anderseits - Herbart's ...'</t>
        </is>
      </c>
      <c r="G60" s="4" t="inlineStr">
        <is>
          <t>Knowledge</t>
        </is>
      </c>
      <c r="H60" s="4" t="inlineStr">
        <is>
          <t>H5</t>
        </is>
      </c>
      <c r="I60" s="4" t="inlineStr">
        <is>
          <t>fragment</t>
        </is>
      </c>
    </row>
    <row r="61">
      <c r="A61" s="4" t="n">
        <v>53</v>
      </c>
      <c r="B61" s="4" t="inlineStr">
        <is>
          <t>Language Production &amp; Articulation</t>
        </is>
      </c>
      <c r="C61" s="4" t="inlineStr">
        <is>
          <t>INHIBITED (speech), COMPENSATED (text)</t>
        </is>
      </c>
      <c r="D61" s="4" t="inlineStr">
        <is>
          <t>'Fluency' low in live speech early (anxiety); 'repair' happened in WRITING, where his production is supreme. The inner wealth outran the mouth and was routed through the pen - his personal channel-gap.</t>
        </is>
      </c>
      <c r="E61" s="4" t="inlineStr">
        <is>
          <t>Early lecturing difficulty, improving over years (external witness, capped); meanwhile the written 1854 lecture is a masterpiece of adapted delivery.</t>
        </is>
      </c>
      <c r="F61" s="4" t="inlineStr">
        <is>
          <t>(external witness for speech; the texts for text)</t>
        </is>
      </c>
      <c r="G61" s="4" t="inlineStr">
        <is>
          <t>Social presence, Practice</t>
        </is>
      </c>
      <c r="H61" s="4" t="inlineStr">
        <is>
          <t>H2</t>
        </is>
      </c>
      <c r="I61" s="4" t="inlineStr">
        <is>
          <t>record</t>
        </is>
      </c>
    </row>
    <row r="62">
      <c r="A62" s="4" t="n">
        <v>54</v>
      </c>
      <c r="B62" s="4" t="inlineStr">
        <is>
          <t>Pragmatics &amp; Implied Meaning</t>
        </is>
      </c>
      <c r="C62" s="4" t="inlineStr">
        <is>
          <t>ACTIVE (code: understatement)</t>
        </is>
      </c>
      <c r="D62" s="4" t="inlineStr">
        <is>
          <t>'Politeness / indirectness' ran a fixed code: UNDERSTATE. The century's most consequential 8 pages offered as 'perhaps not entirely unworthy'. What is said is the floor of what is meant - decode accordingly.</t>
        </is>
      </c>
      <c r="E62" s="4" t="inlineStr">
        <is>
          <t>1859 opening's 'vielleicht nicht ganz unwerth'.</t>
        </is>
      </c>
      <c r="F62" s="4" t="inlineStr">
        <is>
          <t>[VERBATIM] 'vielleicht nicht ganz unwerth'.</t>
        </is>
      </c>
      <c r="G62" s="4" t="inlineStr">
        <is>
          <t>Culture, Personality</t>
        </is>
      </c>
      <c r="H62" s="4" t="inlineStr">
        <is>
          <t>H5</t>
        </is>
      </c>
      <c r="I62" s="4" t="inlineStr">
        <is>
          <t>1859 opening</t>
        </is>
      </c>
    </row>
    <row r="63">
      <c r="A63" s="4" t="n">
        <v>55</v>
      </c>
      <c r="B63" s="4" t="inlineStr">
        <is>
          <t>Prosody, Gesture &amp; Non-Verbal Communication</t>
        </is>
      </c>
      <c r="C63" s="4" t="inlineStr">
        <is>
          <t>UNKNOWN / low</t>
        </is>
      </c>
      <c r="D63" s="4" t="inlineStr">
        <is>
          <t>Timid bearing (external witness, capped).</t>
        </is>
      </c>
      <c r="E63" s="4" t="inlineStr">
        <is>
          <t>-</t>
        </is>
      </c>
      <c r="F63" s="4" t="inlineStr">
        <is>
          <t>(external witness)</t>
        </is>
      </c>
      <c r="G63" s="4" t="inlineStr">
        <is>
          <t>-</t>
        </is>
      </c>
      <c r="H63" s="4" t="inlineStr">
        <is>
          <t>H1</t>
        </is>
      </c>
      <c r="I63" s="4" t="inlineStr">
        <is>
          <t>open</t>
        </is>
      </c>
    </row>
    <row r="64">
      <c r="A64" s="4" t="n">
        <v>56</v>
      </c>
      <c r="B64" s="4" t="inlineStr">
        <is>
          <t>Narrative, Reading, Writing &amp; Audience Adaptation</t>
        </is>
      </c>
      <c r="C64" s="4" t="inlineStr">
        <is>
          <t>ACTIVE on demand</t>
        </is>
      </c>
      <c r="D64" s="4" t="inlineStr">
        <is>
          <t>'Audience modelling' usually minimal (writes for the few) - but SWITCHABLE: ordered to address a philosophy faculty, he delivers near-formula-free prose that philosophers could follow. Adaptation is a capacity he spends only when the situation demands.</t>
        </is>
      </c>
      <c r="E64" s="4" t="inlineStr">
        <is>
          <t>1854: Gauss's audience constraint met perfectly - one formula-family in the whole lecture.</t>
        </is>
      </c>
      <c r="F64" s="4" t="inlineStr">
        <is>
          <t>(the lecture's own texture)</t>
        </is>
      </c>
      <c r="G64" s="4" t="inlineStr">
        <is>
          <t>Instruction, Social presence</t>
        </is>
      </c>
      <c r="H64" s="4" t="inlineStr">
        <is>
          <t>H5</t>
        </is>
      </c>
      <c r="I64" s="4" t="inlineStr">
        <is>
          <t>1854</t>
        </is>
      </c>
    </row>
    <row r="65">
      <c r="A65" s="5" t="inlineStr">
        <is>
          <t>SEGMENT 8 - EMOTION, MOTIVATION, INTENT &amp; MOTIVE (8 containers, 268 sub-parameters)</t>
        </is>
      </c>
      <c r="B65" s="7" t="n"/>
      <c r="C65" s="7" t="n"/>
      <c r="D65" s="7" t="n"/>
      <c r="E65" s="7" t="n"/>
      <c r="F65" s="7" t="n"/>
      <c r="G65" s="7" t="n"/>
      <c r="H65" s="7" t="n"/>
      <c r="I65" s="8" t="n"/>
    </row>
    <row r="66">
      <c r="A66" s="4" t="n">
        <v>57</v>
      </c>
      <c r="B66" s="4" t="inlineStr">
        <is>
          <t>Emotion Generation &amp; Affective State</t>
        </is>
      </c>
      <c r="C66" s="4" t="inlineStr">
        <is>
          <t>ACTIVE, contained</t>
        </is>
      </c>
      <c r="D66" s="4" t="inlineStr">
        <is>
          <t>Deep valence, narrow expression: melancholy (Schwermut) episodes documented; joy channelled through nature and family letters rather than display.</t>
        </is>
      </c>
      <c r="E66" s="4" t="inlineStr">
        <is>
          <t>The dark stretch after 1855; lift during walking tours (carrier).</t>
        </is>
      </c>
      <c r="F66" s="4" t="inlineStr">
        <is>
          <t>(carrier)</t>
        </is>
      </c>
      <c r="G66" s="4" t="inlineStr">
        <is>
          <t>Emotional, Trauma</t>
        </is>
      </c>
      <c r="H66" s="4" t="inlineStr">
        <is>
          <t>H2</t>
        </is>
      </c>
      <c r="I66" s="4" t="inlineStr">
        <is>
          <t>carrier</t>
        </is>
      </c>
    </row>
    <row r="67">
      <c r="A67" s="4" t="n">
        <v>58</v>
      </c>
      <c r="B67" s="4" t="inlineStr">
        <is>
          <t>Emotion Recognition &amp; Labelling</t>
        </is>
      </c>
      <c r="C67" s="4" t="inlineStr">
        <is>
          <t>ACTIVE (self)</t>
        </is>
      </c>
      <c r="D67" s="4" t="inlineStr">
        <is>
          <t>Describes his own states plainly in family letters - self-labelling functional, other-labelling untested in record.</t>
        </is>
      </c>
      <c r="E67" s="4" t="inlineStr">
        <is>
          <t>Letters home describing his condition and spirits (carrier).</t>
        </is>
      </c>
      <c r="F67" s="4" t="inlineStr">
        <is>
          <t>(carrier)</t>
        </is>
      </c>
      <c r="G67" s="4" t="inlineStr">
        <is>
          <t>-</t>
        </is>
      </c>
      <c r="H67" s="4" t="inlineStr">
        <is>
          <t>H2</t>
        </is>
      </c>
      <c r="I67" s="4" t="inlineStr">
        <is>
          <t>carrier</t>
        </is>
      </c>
    </row>
    <row r="68">
      <c r="A68" s="4" t="n">
        <v>59</v>
      </c>
      <c r="B68" s="4" t="inlineStr">
        <is>
          <t>Emotion Regulation &amp; Coping</t>
        </is>
      </c>
      <c r="C68" s="4" t="inlineStr">
        <is>
          <t>ACTIVE, ritualized</t>
        </is>
      </c>
      <c r="D68" s="4" t="inlineStr">
        <is>
          <t>Regulation stack: work, walking, friendship, and DAILY religious self-examination - a scheduled introspection acting as his stabilizer.</t>
        </is>
      </c>
      <c r="E68" s="4" t="inlineStr">
        <is>
          <t>His stated view of religion's core as daily self-examination before God (carrier, his words reported).</t>
        </is>
      </c>
      <c r="F68" s="4" t="inlineStr">
        <is>
          <t>(carrier) 'taegliche Selbstpruefung vor dem Angesichte Gottes' [reported as his]</t>
        </is>
      </c>
      <c r="G68" s="4" t="inlineStr">
        <is>
          <t>Culture, Belief</t>
        </is>
      </c>
      <c r="H68" s="4" t="inlineStr">
        <is>
          <t>H3</t>
        </is>
      </c>
      <c r="I68" s="4" t="inlineStr">
        <is>
          <t>Dedekind Lebenslauf</t>
        </is>
      </c>
    </row>
    <row r="69">
      <c r="A69" s="4" t="n">
        <v>60</v>
      </c>
      <c r="B69" s="4" t="inlineStr">
        <is>
          <t>Positive Valence &amp; Reward</t>
        </is>
      </c>
      <c r="C69" s="4" t="inlineStr">
        <is>
          <t>ACTIVE, truth-locked</t>
        </is>
      </c>
      <c r="D69" s="4" t="inlineStr">
        <is>
          <t>'Liking' bound to insight-events; 'wanting' weak toward status goods; reward-habit: the next connection, not the next honor.</t>
        </is>
      </c>
      <c r="E69" s="4" t="inlineStr">
        <is>
          <t>Turns the Berlin honor immediately into WORK (the 1859 paper) rather than rest or display.</t>
        </is>
      </c>
      <c r="F69" s="4" t="inlineStr">
        <is>
          <t>[VERBATIM] the 1859 opening: thanks paid as investigation.</t>
        </is>
      </c>
      <c r="G69" s="4" t="inlineStr">
        <is>
          <t>Reward, Value</t>
        </is>
      </c>
      <c r="H69" s="4" t="inlineStr">
        <is>
          <t>H5</t>
        </is>
      </c>
      <c r="I69" s="4" t="inlineStr">
        <is>
          <t>1859</t>
        </is>
      </c>
    </row>
    <row r="70">
      <c r="A70" s="4" t="n">
        <v>61</v>
      </c>
      <c r="B70" s="4" t="inlineStr">
        <is>
          <t>Negative Valence, Threat &amp; Loss</t>
        </is>
      </c>
      <c r="C70" s="4" t="inlineStr">
        <is>
          <t>ACTIVE</t>
        </is>
      </c>
      <c r="D70" s="4" t="inlineStr">
        <is>
          <t>Threat triad: poverty, illness, exposure (audience). Loss processing heavy through the family-death years; avoidance shows as withdrawal to work and home.</t>
        </is>
      </c>
      <c r="E70" s="4" t="inlineStr">
        <is>
          <t>1855-57 cluster; audience-fear early career.</t>
        </is>
      </c>
      <c r="F70" s="4" t="inlineStr">
        <is>
          <t>(carrier)</t>
        </is>
      </c>
      <c r="G70" s="4" t="inlineStr">
        <is>
          <t>Threat, Scarcity</t>
        </is>
      </c>
      <c r="H70" s="4" t="inlineStr">
        <is>
          <t>H2</t>
        </is>
      </c>
      <c r="I70" s="4" t="inlineStr">
        <is>
          <t>carrier</t>
        </is>
      </c>
    </row>
    <row r="71">
      <c r="A71" s="4" t="n">
        <v>62</v>
      </c>
      <c r="B71" s="4" t="inlineStr">
        <is>
          <t>Motivation, Effort &amp; Persistence</t>
        </is>
      </c>
      <c r="C71" s="4" t="inlineStr">
        <is>
          <t>DOMINANT</t>
        </is>
      </c>
      <c r="D71" s="4" t="inlineStr">
        <is>
          <t>'Persistence after setback' extreme: illness, poverty, grief - output continues, re-scaled but never zero; 'self-efficacy' quiet but unshakable in content.</t>
        </is>
      </c>
      <c r="E71" s="4" t="inlineStr">
        <is>
          <t>Works to the final days on the ear paper; the walk from poverty to the Gauss chair without ever chasing it.</t>
        </is>
      </c>
      <c r="F71" s="4" t="inlineStr">
        <is>
          <t>(the record)</t>
        </is>
      </c>
      <c r="G71" s="4" t="inlineStr">
        <is>
          <t>-</t>
        </is>
      </c>
      <c r="H71" s="4" t="inlineStr">
        <is>
          <t>H4</t>
        </is>
      </c>
      <c r="I71" s="4" t="inlineStr">
        <is>
          <t>record</t>
        </is>
      </c>
    </row>
    <row r="72">
      <c r="A72" s="4" t="n">
        <v>63</v>
      </c>
      <c r="B72" s="4" t="inlineStr">
        <is>
          <t>Intent Formation &amp; Commitment</t>
        </is>
      </c>
      <c r="C72" s="4" t="inlineStr">
        <is>
          <t>ACTIVE - INTENT IS WRITTEN</t>
        </is>
      </c>
      <c r="D72" s="4" t="inlineStr">
        <is>
          <t>FOR HIM: intent = the DECLARED PLAN, stated in the work's opening, in print, before delivery. 'Implementation intention' becomes text - which is why declared-intent-vs-delivery audit WORKS on him (see HIS WORDS FIRST). Commitment to the plan: near-absolute. Commitment to RELEASE: separately gated (see 20).</t>
        </is>
      </c>
      <c r="E72" s="4" t="inlineStr">
        <is>
          <t>Every major work opens with its intent; each was then walked (or its gap named).</t>
        </is>
      </c>
      <c r="F72" s="4" t="inlineStr">
        <is>
          <t>[VERBATIM] the openings of 1854 and 1859.</t>
        </is>
      </c>
      <c r="G72" s="4" t="inlineStr">
        <is>
          <t>Instruction, Value</t>
        </is>
      </c>
      <c r="H72" s="4" t="inlineStr">
        <is>
          <t>H6</t>
        </is>
      </c>
      <c r="I72" s="4" t="inlineStr">
        <is>
          <t>HIS WORDS FIRST sheet</t>
        </is>
      </c>
    </row>
    <row r="73">
      <c r="A73" s="4" t="n">
        <v>64</v>
      </c>
      <c r="B73" s="4" t="inlineStr">
        <is>
          <t>Motive, Needs, Values &amp; Priority Structure</t>
        </is>
      </c>
      <c r="C73" s="4" t="inlineStr">
        <is>
          <t>DOMINANT, layered - MOTIVE != INTENT (the owner's law, visible in him)</t>
        </is>
      </c>
      <c r="D73" s="4" t="inlineStr">
        <is>
          <t>FOR HIM: motive (the WHY) has three strata: (a) stated: duty - to God (self-examination), to family (provision), to truth (service); (b) structural: security-need from scarcity childhood; (c) HIDDEN: a private cosmic ambition - 'MY MAIN WORK concerns a new conception of the KNOWN LAWS OF NATURE' - never said publicly, written only in a drawer. Public modesty over private vastness: stated motive and operating motive DIFFER, exactly as the owner's registry warns.</t>
        </is>
      </c>
      <c r="E73" s="4" t="inlineStr">
        <is>
          <t>The Hauptarbeit fragment (private grandeur) vs the 1859 opening (public 'perhaps not entirely unworthy') - same man, same months.</t>
        </is>
      </c>
      <c r="F73" s="4" t="inlineStr">
        <is>
          <t>[VERBATIM] both texts, side by side.</t>
        </is>
      </c>
      <c r="G73" s="4" t="inlineStr">
        <is>
          <t>Value, Identity, Culture</t>
        </is>
      </c>
      <c r="H73" s="4" t="inlineStr">
        <is>
          <t>H5</t>
        </is>
      </c>
      <c r="I73" s="4" t="inlineStr">
        <is>
          <t>fragments vs 1859</t>
        </is>
      </c>
    </row>
    <row r="74">
      <c r="A74" s="5" t="inlineStr">
        <is>
          <t>SEGMENT 9 - CONSCIOUSNESS, SELF &amp; SOCIAL INTELLIGENCE (8 containers, 272 sub-parameters)</t>
        </is>
      </c>
      <c r="B74" s="7" t="n"/>
      <c r="C74" s="7" t="n"/>
      <c r="D74" s="7" t="n"/>
      <c r="E74" s="7" t="n"/>
      <c r="F74" s="7" t="n"/>
      <c r="G74" s="7" t="n"/>
      <c r="H74" s="7" t="n"/>
      <c r="I74" s="8" t="n"/>
    </row>
    <row r="75">
      <c r="A75" s="4" t="n">
        <v>65</v>
      </c>
      <c r="B75" s="4" t="inlineStr">
        <is>
          <t>Conscious Awareness &amp; Global Access</t>
        </is>
      </c>
      <c r="C75" s="4" t="inlineStr">
        <is>
          <t>ACTIVE, introspective</t>
        </is>
      </c>
      <c r="D75" s="4" t="inlineStr">
        <is>
          <t>Scheduled introspection (the daily examination) = deliberate global-access review; 'unconscious influence' acknowledged in his own psychology (masses below the surface still working).</t>
        </is>
      </c>
      <c r="E75" s="4" t="inlineStr">
        <is>
          <t>His Geistesmassen doctrine has thoughts persisting and working beneath awareness.</t>
        </is>
      </c>
      <c r="F75" s="4" t="inlineStr">
        <is>
          <t>[PARAPHRASE] fragment.</t>
        </is>
      </c>
      <c r="G75" s="4" t="inlineStr">
        <is>
          <t>Belief</t>
        </is>
      </c>
      <c r="H75" s="4" t="inlineStr">
        <is>
          <t>H3</t>
        </is>
      </c>
      <c r="I75" s="4" t="inlineStr">
        <is>
          <t>fragment</t>
        </is>
      </c>
    </row>
    <row r="76">
      <c r="A76" s="4" t="n">
        <v>66</v>
      </c>
      <c r="B76" s="4" t="inlineStr">
        <is>
          <t>Self-Model, Identity &amp; Narrative Self</t>
        </is>
      </c>
      <c r="C76" s="4" t="inlineStr">
        <is>
          <t>ACTIVE, duty-anchored</t>
        </is>
      </c>
      <c r="D76" s="4" t="inlineStr">
        <is>
          <t>Identity: pastor's son called to truth-work; continuity maintained through service (family, science, God) rather than through status roles; the self-story is OBLIGATION, not conquest.</t>
        </is>
      </c>
      <c r="E76" s="4" t="inlineStr">
        <is>
          <t>Career choices routed through the father's blessing (theology begun for him; mathematics with his consent) (carrier).</t>
        </is>
      </c>
      <c r="F76" s="4" t="inlineStr">
        <is>
          <t>(carrier)</t>
        </is>
      </c>
      <c r="G76" s="4" t="inlineStr">
        <is>
          <t>Identity, Culture</t>
        </is>
      </c>
      <c r="H76" s="4" t="inlineStr">
        <is>
          <t>H2</t>
        </is>
      </c>
      <c r="I76" s="4" t="inlineStr">
        <is>
          <t>carrier</t>
        </is>
      </c>
    </row>
    <row r="77">
      <c r="A77" s="4" t="n">
        <v>67</v>
      </c>
      <c r="B77" s="4" t="inlineStr">
        <is>
          <t>Personality &amp; Temperament</t>
        </is>
      </c>
      <c r="C77" s="4" t="inlineStr">
        <is>
          <t>stable baseline</t>
        </is>
      </c>
      <c r="D77" s="4" t="inlineStr">
        <is>
          <t>Shy, gentle, sensitive; 'behavioural consistency' extreme in work habits; stubbornness located ONLY in content-standards, nowhere social.</t>
        </is>
      </c>
      <c r="E77" s="4" t="inlineStr">
        <is>
          <t>Contemporaries' consistent picture (external witnesses, capped) + the release-pattern's internal consistency.</t>
        </is>
      </c>
      <c r="F77" s="4" t="inlineStr">
        <is>
          <t>(external witnesses)</t>
        </is>
      </c>
      <c r="G77" s="4" t="inlineStr">
        <is>
          <t>-</t>
        </is>
      </c>
      <c r="H77" s="4" t="inlineStr">
        <is>
          <t>H2</t>
        </is>
      </c>
      <c r="I77" s="4" t="inlineStr">
        <is>
          <t>record</t>
        </is>
      </c>
    </row>
    <row r="78">
      <c r="A78" s="4" t="n">
        <v>68</v>
      </c>
      <c r="B78" s="4" t="inlineStr">
        <is>
          <t>Agency, Ownership &amp; Responsibility</t>
        </is>
      </c>
      <c r="C78" s="4" t="inlineStr">
        <is>
          <t>DOMINANT (authorship honesty)</t>
        </is>
      </c>
      <c r="D78" s="4" t="inlineStr">
        <is>
          <t>'Authorship' owned INCLUDING the gaps: prints his own unproven steps; credits Gauss/Dirichlet lineage explicitly; never claims the unearned - responsibility attribution runs exact in both directions.</t>
        </is>
      </c>
      <c r="E78" s="4" t="inlineStr">
        <is>
          <t>1859 names its debts and its ancestors in the same short paper.</t>
        </is>
      </c>
      <c r="F78" s="4" t="inlineStr">
        <is>
          <t>[VERBATIM] paper text.</t>
        </is>
      </c>
      <c r="G78" s="4" t="inlineStr">
        <is>
          <t>Value</t>
        </is>
      </c>
      <c r="H78" s="4" t="inlineStr">
        <is>
          <t>H5</t>
        </is>
      </c>
      <c r="I78" s="4" t="inlineStr">
        <is>
          <t>1859</t>
        </is>
      </c>
    </row>
    <row r="79">
      <c r="A79" s="4" t="n">
        <v>69</v>
      </c>
      <c r="B79" s="4" t="inlineStr">
        <is>
          <t>Theory of Mind &amp; Social Prediction</t>
        </is>
      </c>
      <c r="C79" s="4" t="inlineStr">
        <is>
          <t>ACTIVE (asymmetric)</t>
        </is>
      </c>
      <c r="D79" s="4" t="inlineStr">
        <is>
          <t>Weak-to-untested on LIVE others (few close bonds); exceptional on TEXTUAL minds: reconstructs what Newton, Euler, Herbart were DOING - belief-inference on the dead through their works.</t>
        </is>
      </c>
      <c r="E79" s="4" t="inlineStr">
        <is>
          <t>The fragments read Herbart's intentions, not just his claims.</t>
        </is>
      </c>
      <c r="F79" s="4" t="inlineStr">
        <is>
          <t>[PARAPHRASE]</t>
        </is>
      </c>
      <c r="G79" s="4" t="inlineStr">
        <is>
          <t>Relationship</t>
        </is>
      </c>
      <c r="H79" s="4" t="inlineStr">
        <is>
          <t>H2</t>
        </is>
      </c>
      <c r="I79" s="4" t="inlineStr">
        <is>
          <t>fragments</t>
        </is>
      </c>
    </row>
    <row r="80">
      <c r="A80" s="4" t="n">
        <v>70</v>
      </c>
      <c r="B80" s="4" t="inlineStr">
        <is>
          <t>Empathy, Compassion &amp; Emotional Sharing</t>
        </is>
      </c>
      <c r="C80" s="4" t="inlineStr">
        <is>
          <t>ACTIVE (narrow, deep)</t>
        </is>
      </c>
      <c r="D80" s="4" t="inlineStr">
        <is>
          <t>Concern concentrated: sisters, mother's memory, few friends - depth over breadth; 'compassion -&gt; helping' converts directly into provision (money, care), not words.</t>
        </is>
      </c>
      <c r="E80" s="4" t="inlineStr">
        <is>
          <t>Supports sisters from a stipend that barely fed one person.</t>
        </is>
      </c>
      <c r="F80" s="4" t="inlineStr">
        <is>
          <t>(carrier)</t>
        </is>
      </c>
      <c r="G80" s="4" t="inlineStr">
        <is>
          <t>Relationship, Scarcity</t>
        </is>
      </c>
      <c r="H80" s="4" t="inlineStr">
        <is>
          <t>H2</t>
        </is>
      </c>
      <c r="I80" s="4" t="inlineStr">
        <is>
          <t>carrier</t>
        </is>
      </c>
    </row>
    <row r="81">
      <c r="A81" s="4" t="n">
        <v>71</v>
      </c>
      <c r="B81" s="4" t="inlineStr">
        <is>
          <t>Attachment, Belonging, Status &amp; Group Behaviour</t>
        </is>
      </c>
      <c r="C81" s="4" t="inlineStr">
        <is>
          <t>ACTIVE-attachment / DORMANT-status</t>
        </is>
      </c>
      <c r="D81" s="4" t="inlineStr">
        <is>
          <t>Attachment: family + Dedekind + Weber circle, few and lifelong. Status machinery near-DORMANT: no priority fights, no schools founded, honors received as DEBTS TO REPAY (1859) rather than ranks to occupy.</t>
        </is>
      </c>
      <c r="E81" s="4" t="inlineStr">
        <is>
          <t>Berlin membership -&gt; immediate repayment-in-work; no campaign for chairs; the Gauss chair comes to him.</t>
        </is>
      </c>
      <c r="F81" s="4" t="inlineStr">
        <is>
          <t>[VERBATIM] 1859 opening (honor -&gt; obligation).</t>
        </is>
      </c>
      <c r="G81" s="4" t="inlineStr">
        <is>
          <t>Status, Culture</t>
        </is>
      </c>
      <c r="H81" s="4" t="inlineStr">
        <is>
          <t>H5</t>
        </is>
      </c>
      <c r="I81" s="4" t="inlineStr">
        <is>
          <t>1859</t>
        </is>
      </c>
    </row>
    <row r="82">
      <c r="A82" s="4" t="n">
        <v>72</v>
      </c>
      <c r="B82" s="4" t="inlineStr">
        <is>
          <t>Morality, Norms, Culture &amp; Meaning</t>
        </is>
      </c>
      <c r="C82" s="4" t="inlineStr">
        <is>
          <t>DOMINANT (private piety)</t>
        </is>
      </c>
      <c r="D82" s="4" t="inlineStr">
        <is>
          <t>Meaning-structure: Lutheran pietism internalized as PRACTICE (examination, service) not display; truth-telling as religious duty extending INTO mathematics (never claim beyond warrant = commandment, not style).</t>
        </is>
      </c>
      <c r="E82" s="4" t="inlineStr">
        <is>
          <t>Daily self-examination; the tombstone verse chosen by those who knew him: 'all things work together for good to them that love God' (artifact).</t>
        </is>
      </c>
      <c r="F82" s="4" t="inlineStr">
        <is>
          <t>(carrier + artifact)</t>
        </is>
      </c>
      <c r="G82" s="4" t="inlineStr">
        <is>
          <t>Culture, Belief, Identity</t>
        </is>
      </c>
      <c r="H82" s="4" t="inlineStr">
        <is>
          <t>H3</t>
        </is>
      </c>
      <c r="I82" s="4" t="inlineStr">
        <is>
          <t>Lebenslauf; Biganzoli grave</t>
        </is>
      </c>
    </row>
    <row r="83">
      <c r="A83" s="5" t="inlineStr">
        <is>
          <t>SEGMENT 10 - DEVELOPMENT, METACOGNITION &amp; ADAPTATION (8 containers, 252 sub-parameters)</t>
        </is>
      </c>
      <c r="B83" s="7" t="n"/>
      <c r="C83" s="7" t="n"/>
      <c r="D83" s="7" t="n"/>
      <c r="E83" s="7" t="n"/>
      <c r="F83" s="7" t="n"/>
      <c r="G83" s="7" t="n"/>
      <c r="H83" s="7" t="n"/>
      <c r="I83" s="8" t="n"/>
    </row>
    <row r="84">
      <c r="A84" s="4" t="n">
        <v>73</v>
      </c>
      <c r="B84" s="4" t="inlineStr">
        <is>
          <t>Development &amp; Maturation</t>
        </is>
      </c>
      <c r="C84" s="4" t="inlineStr">
        <is>
          <t>staged, permission-gated</t>
        </is>
      </c>
      <c r="D84" s="4" t="inlineStr">
        <is>
          <t>Prodigy in calculation (childhood), late bloomer socially; each life-stage transition routed through the father's approval - development inside an obedience frame until the frame itself blessed the work.</t>
        </is>
      </c>
      <c r="E84" s="4" t="inlineStr">
        <is>
          <t>Begins theology for his father; switches to mathematics WITH the father's consent (carrier).</t>
        </is>
      </c>
      <c r="F84" s="4" t="inlineStr">
        <is>
          <t>(carrier)</t>
        </is>
      </c>
      <c r="G84" s="4" t="inlineStr">
        <is>
          <t>Developmental, Identity</t>
        </is>
      </c>
      <c r="H84" s="4" t="inlineStr">
        <is>
          <t>H2</t>
        </is>
      </c>
      <c r="I84" s="4" t="inlineStr">
        <is>
          <t>carrier</t>
        </is>
      </c>
    </row>
    <row r="85">
      <c r="A85" s="4" t="n">
        <v>74</v>
      </c>
      <c r="B85" s="4" t="inlineStr">
        <is>
          <t>Plasticity, Skill Acquisition &amp; Learning-to-Learn</t>
        </is>
      </c>
      <c r="C85" s="4" t="inlineStr">
        <is>
          <t>DOMINANT (self-directed)</t>
        </is>
      </c>
      <c r="D85" s="4" t="inlineStr">
        <is>
          <t>'Strategy learning' autodidact-grade: whole fields absorbed alone from texts at extreme speed; 'transfer' across domains is his norm, not his exception.</t>
        </is>
      </c>
      <c r="E85" s="4" t="inlineStr">
        <is>
          <t>Legendre in six days; physics absorbed to the point of co-working with Weber's circle.</t>
        </is>
      </c>
      <c r="F85" s="4" t="inlineStr">
        <is>
          <t>(carrier + record)</t>
        </is>
      </c>
      <c r="G85" s="4" t="inlineStr">
        <is>
          <t>Practice, Knowledge</t>
        </is>
      </c>
      <c r="H85" s="4" t="inlineStr">
        <is>
          <t>H2</t>
        </is>
      </c>
      <c r="I85" s="4" t="inlineStr">
        <is>
          <t>carrier</t>
        </is>
      </c>
    </row>
    <row r="86">
      <c r="A86" s="4" t="n">
        <v>75</v>
      </c>
      <c r="B86" s="4" t="inlineStr">
        <is>
          <t>Metacognition &amp; Self-Monitoring</t>
        </is>
      </c>
      <c r="C86" s="4" t="inlineStr">
        <is>
          <t>DOMINANT</t>
        </is>
      </c>
      <c r="D86" s="4" t="inlineStr">
        <is>
          <t>'Knowing-what-you-know' razor-exact and PUBLISHED: the probable marked probable, the unproven marked unproven, the dispensable marked dispensable - metacognition as printed policy, not private feeling.</t>
        </is>
      </c>
      <c r="E86" s="4" t="inlineStr">
        <is>
          <t>The 1859 paper's self-assessment sentences are metacognitive acts in print.</t>
        </is>
      </c>
      <c r="F86" s="4" t="inlineStr">
        <is>
          <t>[VERBATIM] 'sehr wahrscheinlich' + the halt sentence.</t>
        </is>
      </c>
      <c r="G86" s="4" t="inlineStr">
        <is>
          <t>-</t>
        </is>
      </c>
      <c r="H86" s="4" t="inlineStr">
        <is>
          <t>H6</t>
        </is>
      </c>
      <c r="I86" s="4" t="inlineStr">
        <is>
          <t>1859</t>
        </is>
      </c>
    </row>
    <row r="87">
      <c r="A87" s="4" t="n">
        <v>76</v>
      </c>
      <c r="B87" s="4" t="inlineStr">
        <is>
          <t>Heuristics, Biases &amp; Cognitive Distortion</t>
        </is>
      </c>
      <c r="C87" s="4" t="inlineStr">
        <is>
          <t>LOW-DISTORTION profile</t>
        </is>
      </c>
      <c r="D87" s="4" t="inlineStr">
        <is>
          <t>Confirmation bias suppressed by the release-gate (nothing ships on wish); sunk-cost immunity visible ('bei Seite gelassen' - drops cleanly when unripe); one bias plausible: PESSIMISTIC self-assessment (systematic under-claiming).</t>
        </is>
      </c>
      <c r="E87" s="4" t="inlineStr">
        <is>
          <t>Withdraws 1858 rather than defend it; underclaims 1859.</t>
        </is>
      </c>
      <c r="F87" s="4" t="inlineStr">
        <is>
          <t>[INFERRED from pattern]</t>
        </is>
      </c>
      <c r="G87" s="4" t="inlineStr">
        <is>
          <t>Personality</t>
        </is>
      </c>
      <c r="H87" s="4" t="inlineStr">
        <is>
          <t>H3</t>
        </is>
      </c>
      <c r="I87" s="4" t="inlineStr">
        <is>
          <t>record</t>
        </is>
      </c>
    </row>
    <row r="88">
      <c r="A88" s="4" t="n">
        <v>77</v>
      </c>
      <c r="B88" s="4" t="inlineStr">
        <is>
          <t>Resilience, Failure Detection &amp; Repair</t>
        </is>
      </c>
      <c r="C88" s="4" t="inlineStr">
        <is>
          <t>ACTIVE, patterned</t>
        </is>
      </c>
      <c r="D88" s="4" t="inlineStr">
        <is>
          <t>Repair pattern fixed and repeatable: HALT (name it, 'vorlaeufig') -&gt; STORE (the drawer, never destroy) -&gt; RE-GROUND (walking, nature, friend, family, prayer) -&gt; RETURN (or hand on). Failure never terminal: the ear paper is a man repairing INTO death.</t>
        </is>
      </c>
      <c r="E88" s="4" t="inlineStr">
        <is>
          <t>1855-57 collapse -&gt; tours -&gt; the great 1857-1859 run. Illness -&gt; re-scaled work -&gt; last paper.</t>
        </is>
      </c>
      <c r="F88" s="4" t="inlineStr">
        <is>
          <t>[VERBATIM] 'vorlaeufig' as the repair-opening word.</t>
        </is>
      </c>
      <c r="G88" s="4" t="inlineStr">
        <is>
          <t>Trauma, Relationship, Belief</t>
        </is>
      </c>
      <c r="H88" s="4" t="inlineStr">
        <is>
          <t>H3</t>
        </is>
      </c>
      <c r="I88" s="4" t="inlineStr">
        <is>
          <t>record</t>
        </is>
      </c>
    </row>
    <row r="89">
      <c r="A89" s="4" t="n">
        <v>78</v>
      </c>
      <c r="B89" s="4" t="inlineStr">
        <is>
          <t>Expertise &amp; Domain Adaptation</t>
        </is>
      </c>
      <c r="C89" s="4" t="inlineStr">
        <is>
          <t>DOMINANT (multi-domain)</t>
        </is>
      </c>
      <c r="D89" s="4" t="inlineStr">
        <is>
          <t>'Rapid recognition' in mathematics, physics, philosophy, physiology-of-hearing; 'exception awareness' high - knows where each domain's tools stop (hands geometry's limit to physics in 1854's last line).</t>
        </is>
      </c>
      <c r="E89" s="4" t="inlineStr">
        <is>
          <t>The lecture ENDS by naming its own domain-boundary.</t>
        </is>
      </c>
      <c r="F89" s="4" t="inlineStr">
        <is>
          <t>[VERBATIM] final sentence hands the question to physics.</t>
        </is>
      </c>
      <c r="G89" s="4" t="inlineStr">
        <is>
          <t>Knowledge</t>
        </is>
      </c>
      <c r="H89" s="4" t="inlineStr">
        <is>
          <t>H5</t>
        </is>
      </c>
      <c r="I89" s="4" t="inlineStr">
        <is>
          <t>1854 close</t>
        </is>
      </c>
    </row>
    <row r="90">
      <c r="A90" s="4" t="n">
        <v>79</v>
      </c>
      <c r="B90" s="4" t="inlineStr">
        <is>
          <t>Social Learning, Teaching &amp; Cultural Transmission</t>
        </is>
      </c>
      <c r="C90" s="4" t="inlineStr">
        <is>
          <t>ACTIVE (lineage-shaped)</t>
        </is>
      </c>
      <c r="D90" s="4" t="inlineStr">
        <is>
          <t>Learns by lineage (Gauss, Dirichlet, Weber, Herbart's texts); teaches few but transmits TOTALLY: his lecture courses, kept in students' notebooks, became posthumous books - transmission through OTHER PEOPLE'S kept files.</t>
        </is>
      </c>
      <c r="E90" s="4" t="inlineStr">
        <is>
          <t>Partial differential equations &amp; other courses published from auditors' notes after his death.</t>
        </is>
      </c>
      <c r="F90" s="4" t="inlineStr">
        <is>
          <t>(record)</t>
        </is>
      </c>
      <c r="G90" s="4" t="inlineStr">
        <is>
          <t>Social learning</t>
        </is>
      </c>
      <c r="H90" s="4" t="inlineStr">
        <is>
          <t>H3</t>
        </is>
      </c>
      <c r="I90" s="4" t="inlineStr">
        <is>
          <t>posthumous editions</t>
        </is>
      </c>
    </row>
    <row r="91">
      <c r="A91" s="4" t="n">
        <v>80</v>
      </c>
      <c r="B91" s="4" t="inlineStr">
        <is>
          <t>External Cognition, Institutions &amp; Collective Intelligence</t>
        </is>
      </c>
      <c r="C91" s="4" t="inlineStr">
        <is>
          <t>DOMINANT (the drawer)</t>
        </is>
      </c>
      <c r="D91" s="4" t="inlineStr">
        <is>
          <t>'Distributed memory' is load-bearing: the Nachlass drawer, the blackboard, the library, Goettingen, the family - and the drawer OUTPERFORMED the century: what he externalized privately (zero computations) answered questions 73 years later. His cognition was designed to survive him - whether he intended that or not is an open gap.</t>
        </is>
      </c>
      <c r="E91" s="4" t="inlineStr">
        <is>
          <t>Siegel 1932: the drawer delivers the Riemann-Siegel formula to a world that had failed to find it alone.</t>
        </is>
      </c>
      <c r="F91" s="4" t="inlineStr">
        <is>
          <t>(the Nachlass itself)</t>
        </is>
      </c>
      <c r="G91" s="4" t="inlineStr">
        <is>
          <t>Institutional, Technology</t>
        </is>
      </c>
      <c r="H91" s="4" t="inlineStr">
        <is>
          <t>H5</t>
        </is>
      </c>
      <c r="I91" s="4" t="inlineStr">
        <is>
          <t>Siegel 1932</t>
        </is>
      </c>
    </row>
  </sheetData>
  <mergeCells count="10">
    <mergeCell ref="A29:I29"/>
    <mergeCell ref="A65:I65"/>
    <mergeCell ref="A2:I2"/>
    <mergeCell ref="A11:I11"/>
    <mergeCell ref="A47:I47"/>
    <mergeCell ref="A56:I56"/>
    <mergeCell ref="A74:I74"/>
    <mergeCell ref="A83:I83"/>
    <mergeCell ref="A20:I20"/>
    <mergeCell ref="A38:I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42" customWidth="1" min="3" max="3"/>
    <col width="34" customWidth="1" min="4" max="4"/>
    <col width="4" customWidth="1" min="5" max="5"/>
  </cols>
  <sheetData>
    <row r="1">
      <c r="A1" s="3" t="inlineStr">
        <is>
          <t>Parameter</t>
        </is>
      </c>
      <c r="B1" s="3" t="inlineStr">
        <is>
          <t>What it stands for IN HIM</t>
        </is>
      </c>
      <c r="C1" s="3" t="inlineStr">
        <is>
          <t>Event / evidence</t>
        </is>
      </c>
      <c r="D1" s="3" t="inlineStr">
        <is>
          <t>His words</t>
        </is>
      </c>
      <c r="E1" s="3" t="inlineStr">
        <is>
          <t>H</t>
        </is>
      </c>
    </row>
    <row r="2">
      <c r="A2" s="4" t="inlineStr">
        <is>
          <t>Point Zero</t>
        </is>
      </c>
      <c r="B2" s="4" t="inlineStr">
        <is>
          <t>The PRESUPPOSED - the thing a whole field treats as given and skips. His walks start BEFORE the accepted start: before space (1854), before the axioms, before the count.</t>
        </is>
      </c>
      <c r="C2" s="4" t="inlineStr">
        <is>
          <t>1854 opening names geometry's presupposition as the object.</t>
        </is>
      </c>
      <c r="D2" s="4" t="inlineStr">
        <is>
          <t>[VERBATIM] 'als etwas Gegebenes voraus' - the given, named as the problem.</t>
        </is>
      </c>
      <c r="E2" s="4" t="inlineStr">
        <is>
          <t>H6</t>
        </is>
      </c>
    </row>
    <row r="3">
      <c r="A3" s="4" t="inlineStr">
        <is>
          <t>Ground</t>
        </is>
      </c>
      <c r="B3" s="4" t="inlineStr">
        <is>
          <t>What pre-exists the asking: for him, the REAL underlying space/manifold and the laws already operating. The metric's ground is not in geometry at all - it lies OUTSIDE, in binding forces.</t>
        </is>
      </c>
      <c r="C3" s="4" t="inlineStr">
        <is>
          <t>1854 close relocates geometry's ground to physics.</t>
        </is>
      </c>
      <c r="D3" s="4" t="inlineStr">
        <is>
          <t>[VERBATIM] 'der Grund der Massverhaeltnisse ... in darauf wirkenden bindenden Kraeften'</t>
        </is>
      </c>
      <c r="E3" s="4" t="inlineStr">
        <is>
          <t>H6</t>
        </is>
      </c>
    </row>
    <row r="4">
      <c r="A4" s="4" t="inlineStr">
        <is>
          <t>Pressure</t>
        </is>
      </c>
      <c r="B4" s="4" t="inlineStr">
        <is>
          <t>Three constant pressures: scarcity (money), the body (illness), and DEBT-OF-HONOR (an honor received converts instantly into an obligation to deliver work). External deadlines act as his best fuel.</t>
        </is>
      </c>
      <c r="C4" s="4" t="inlineStr">
        <is>
          <t>Berlin election 1859 -&gt; the zeta paper as repayment; Gauss's topic choice 1854 -&gt; the lecture in weeks.</t>
        </is>
      </c>
      <c r="D4" s="4" t="inlineStr">
        <is>
          <t>[VERBATIM] the 1859 opening converts thanks into an investigation.</t>
        </is>
      </c>
      <c r="E4" s="4" t="inlineStr">
        <is>
          <t>H5</t>
        </is>
      </c>
    </row>
    <row r="5">
      <c r="A5" s="4" t="inlineStr">
        <is>
          <t>Use</t>
        </is>
      </c>
      <c r="B5" s="4" t="inlineStr">
        <is>
          <t>Tools are USED before their licence is proven - knowingly. The Dirichlet principle carried his function theory for two decades on physical evidence; rigor arrived later (Hilbert), after his death.</t>
        </is>
      </c>
      <c r="C5" s="4" t="inlineStr">
        <is>
          <t>1851/1857 build on the unproven principle; it WORKED.</t>
        </is>
      </c>
      <c r="D5" s="4" t="inlineStr">
        <is>
          <t>[PARAPHRASE] his physical grounding of the principle.</t>
        </is>
      </c>
      <c r="E5" s="4" t="inlineStr">
        <is>
          <t>H5</t>
        </is>
      </c>
    </row>
    <row r="6">
      <c r="A6" s="4" t="inlineStr">
        <is>
          <t>Witness</t>
        </is>
      </c>
      <c r="B6" s="4" t="inlineStr">
        <is>
          <t>Two witnesses, ranked: PROOF (public) and COMPUTATION/EXPERIMENT (private). His private arithmetic witnessed the hypothesis before the public sentence priced it. Above both, one inner witness: the daily self-examination before God - the audit no one else attends.</t>
        </is>
      </c>
      <c r="C6" s="4" t="inlineStr">
        <is>
          <t>'sehr wahrscheinlich' in print; zero-computations in the drawer; the daily examination (carrier).</t>
        </is>
      </c>
      <c r="D6" s="4" t="inlineStr">
        <is>
          <t>[VERBATIM]+[carrier]</t>
        </is>
      </c>
      <c r="E6" s="4" t="inlineStr">
        <is>
          <t>H4</t>
        </is>
      </c>
    </row>
    <row r="7">
      <c r="A7" s="4" t="inlineStr">
        <is>
          <t>Expression</t>
        </is>
      </c>
      <c r="B7" s="4" t="inlineStr">
        <is>
          <t>HIS OWN WORD: 'Ausdruecke ... mittelst anderer Grundbegriffe' - expression of known laws in OTHER ground-concepts. Expression for him is not writing-up; it is re-conceiving. The thought exists fully before its public body (the unpublished fragments prove it).</t>
        </is>
      </c>
      <c r="C7" s="4" t="inlineStr">
        <is>
          <t>The Hauptarbeit program: re-express nature's laws; the fragments hold expressed-but-unreleased thought.</t>
        </is>
      </c>
      <c r="D7" s="4" t="inlineStr">
        <is>
          <t>[VERBATIM] the fragment.</t>
        </is>
      </c>
      <c r="E7" s="4" t="inlineStr">
        <is>
          <t>H6</t>
        </is>
      </c>
    </row>
    <row r="8">
      <c r="A8" s="4" t="inlineStr">
        <is>
          <t>Naming</t>
        </is>
      </c>
      <c r="B8" s="4" t="inlineStr">
        <is>
          <t>Named LAST and sparingly: 'Mannigfaltigkeit' chosen only after the concept is constructed; the hypothesis carries NO name from him (the world later stamps his name on it). He does not brand; he lets the construction earn the word.</t>
        </is>
      </c>
      <c r="C8" s="4" t="inlineStr">
        <is>
          <t>1854 builds the concept for pages before the term settles; RH is nameless in the 1859 paper.</t>
        </is>
      </c>
      <c r="D8" s="4" t="inlineStr">
        <is>
          <t>(the texts' own order)</t>
        </is>
      </c>
      <c r="E8" s="4" t="inlineStr">
        <is>
          <t>H5</t>
        </is>
      </c>
    </row>
    <row r="9">
      <c r="A9" s="4" t="inlineStr">
        <is>
          <t>Halt</t>
        </is>
      </c>
      <c r="B9" s="4" t="inlineStr">
        <is>
          <t>IN HIS OWN WORDS: 'vorlaeufig bei Seite gelassen' - PROVISIONALLY laid aside. A halt is dated, stored, and stepped past; the walk continues on the main purpose. Withdrawal (1858) is the same move at document scale: pull back, keep the file, say nothing false.</t>
        </is>
      </c>
      <c r="C9" s="4" t="inlineStr">
        <is>
          <t>The RH proof halt (1859, in print); the electrodynamics withdrawal (1858).</t>
        </is>
      </c>
      <c r="D9" s="4" t="inlineStr">
        <is>
          <t>[VERBATIM] 'vorlaeufig bei Seite gelassen ... entbehrlich'</t>
        </is>
      </c>
      <c r="E9" s="4" t="inlineStr">
        <is>
          <t>H6</t>
        </is>
      </c>
    </row>
    <row r="10">
      <c r="A10" s="4" t="inlineStr">
        <is>
          <t>Loop</t>
        </is>
      </c>
      <c r="B10" s="4" t="inlineStr">
        <is>
          <t>Halts reopen: promised returns ('hope to come back later'), and loops that OUTLIVE him - the drawer loops through Siegel (1932), the lectures loop through students' notebooks, the ear paper loops through whoever continues. His loops do not require his survival.</t>
        </is>
      </c>
      <c r="C10" s="4" t="inlineStr">
        <is>
          <t>Nachlass -&gt; Riemann-Siegel formula; posthumous lecture-books.</t>
        </is>
      </c>
      <c r="D10" s="4" t="inlineStr">
        <is>
          <t>[PARAPHRASE] fragments' forward references.</t>
        </is>
      </c>
      <c r="E10" s="4" t="inlineStr">
        <is>
          <t>H5</t>
        </is>
      </c>
    </row>
    <row r="11">
      <c r="A11" s="4" t="inlineStr">
        <is>
          <t>Doubt</t>
        </is>
      </c>
      <c r="B11" s="4" t="inlineStr">
        <is>
          <t>Doubt is PRICED, not suffered: 'very probable' is a measured confidence with named missing evidence. Doubt never blocks use (he computes WITH the unproven hypothesis where useful) and never inflates into certainty.</t>
        </is>
      </c>
      <c r="C11" s="4" t="inlineStr">
        <is>
          <t>The RH sentence; continued use of unproven steps with flags.</t>
        </is>
      </c>
      <c r="D11" s="4" t="inlineStr">
        <is>
          <t>[VERBATIM] 'sehr wahrscheinlich'</t>
        </is>
      </c>
      <c r="E11" s="4" t="inlineStr">
        <is>
          <t>H6</t>
        </is>
      </c>
    </row>
    <row r="12">
      <c r="A12" s="4" t="inlineStr">
        <is>
          <t>Wound</t>
        </is>
      </c>
      <c r="B12" s="4" t="inlineStr">
        <is>
          <t>The 1855-57 death cluster (father, brother, sister) + lifelong poverty + the failing body. The wound's action: it drives him HOME and to walking, then back to work - never into bitterness on the record. The deepest formative wound: scarcity itself.</t>
        </is>
      </c>
      <c r="C12" s="4" t="inlineStr">
        <is>
          <t>Post-1855 gloom; recovery pattern; provision for sisters.</t>
        </is>
      </c>
      <c r="D12" s="4" t="inlineStr">
        <is>
          <t>(carrier)</t>
        </is>
      </c>
      <c r="E12" s="4" t="inlineStr">
        <is>
          <t>H3</t>
        </is>
      </c>
    </row>
    <row r="13">
      <c r="A13" s="4" t="inlineStr">
        <is>
          <t>Mask</t>
        </is>
      </c>
      <c r="B13" s="4" t="inlineStr">
        <is>
          <t>THE CENTRAL MASK: public modesty over private cosmic ambition. Outside: 'perhaps not entirely unworthy'. Drawer: 'MY MAIN WORK concerns a new conception of the KNOWN LAWS OF NATURE'. The stated motive and the operating motive differ - his politeness-code understates by design, so his public words are a FLOOR of his meaning, never the ceiling.</t>
        </is>
      </c>
      <c r="C13" s="4" t="inlineStr">
        <is>
          <t>1859 opening vs Hauptarbeit fragment, written by the same hand in the same years.</t>
        </is>
      </c>
      <c r="D13" s="4" t="inlineStr">
        <is>
          <t>[VERBATIM] both.</t>
        </is>
      </c>
      <c r="E13" s="4" t="inlineStr">
        <is>
          <t>H5</t>
        </is>
      </c>
    </row>
    <row r="14">
      <c r="A14" s="4" t="inlineStr">
        <is>
          <t>Loyalty</t>
        </is>
      </c>
      <c r="B14" s="4" t="inlineStr">
        <is>
          <t>Ranked and visible: God (practice, not display) &gt; family (money before self) &gt; the lineage (Gauss, Dirichlet named as ancestors in print) &gt; institution. Loyalty pays DOWN even when it costs: the sisters are funded from a stipend that barely fed him.</t>
        </is>
      </c>
      <c r="C14" s="4" t="inlineStr">
        <is>
          <t>Provision for sisters; the 1859 credits; the pietist practice.</t>
        </is>
      </c>
      <c r="D14" s="4" t="inlineStr">
        <is>
          <t>(carrier + 1859 text)</t>
        </is>
      </c>
      <c r="E14" s="4" t="inlineStr">
        <is>
          <t>H3</t>
        </is>
      </c>
    </row>
    <row r="15">
      <c r="A15" s="4" t="inlineStr">
        <is>
          <t>Mystery</t>
        </is>
      </c>
      <c r="B15" s="4" t="inlineStr">
        <is>
          <t>The CONNECTION itself (Zusammenhang) - kept as a research object, never resolved by fiat. He hands mysteries to their proper court: geometry's ground to physics, the psyche to a future psychology, his hypothesis to a future proof.</t>
        </is>
      </c>
      <c r="C15" s="4" t="inlineStr">
        <is>
          <t>1854's last line; the fragments' open program.</t>
        </is>
      </c>
      <c r="D15" s="4" t="inlineStr">
        <is>
          <t>[VERBATIM] 'Zusammenhang' in the fragment.</t>
        </is>
      </c>
      <c r="E15" s="4" t="inlineStr">
        <is>
          <t>H5</t>
        </is>
      </c>
    </row>
    <row r="16">
      <c r="A16" s="4" t="inlineStr">
        <is>
          <t>Invention</t>
        </is>
      </c>
      <c r="B16" s="4" t="inlineStr">
        <is>
          <t>New GROUND-CONCEPTS are his invention-class (manifold, surface-sheets, the zeta landscape). Inventions enter at Expression - built, not found - then reality is asked which of them it uses (metric relations to be tested by experience).</t>
        </is>
      </c>
      <c r="C16" s="4" t="inlineStr">
        <is>
          <t>1854: constructs the concept-space first, lets measurement choose after.</t>
        </is>
      </c>
      <c r="D16" s="4" t="inlineStr">
        <is>
          <t>[PARAPHRASE] lecture part 3.</t>
        </is>
      </c>
      <c r="E16" s="4" t="inlineStr">
        <is>
          <t>H5</t>
        </is>
      </c>
    </row>
    <row r="17">
      <c r="A17" s="4" t="inlineStr">
        <is>
          <t>Wild Path</t>
        </is>
      </c>
      <c r="B17" s="4" t="inlineStr">
        <is>
          <t>The private speculative physics (ether-flow, Geistesmassen cosmology in the fragments): pursued seriously, NEVER published - the wild path runs in the drawer, parallel to the public road, preserved without being asserted. Exactly the owner's law: Wild Path preserves; Reality Path checks.</t>
        </is>
      </c>
      <c r="C17" s="4" t="inlineStr">
        <is>
          <t>Naturphilosophie fragments held unpublished while rigorous work ships.</t>
        </is>
      </c>
      <c r="D17" s="4" t="inlineStr">
        <is>
          <t>(the fragments' existence)</t>
        </is>
      </c>
      <c r="E17" s="4" t="inlineStr">
        <is>
          <t>H4</t>
        </is>
      </c>
    </row>
    <row r="18">
      <c r="A18" s="4" t="inlineStr">
        <is>
          <t>- ELEMENTS (the 11-question table) -</t>
        </is>
      </c>
      <c r="B18" s="4" t="inlineStr"/>
      <c r="C18" s="4" t="inlineStr"/>
      <c r="D18" s="4" t="inlineStr"/>
      <c r="E18" s="4" t="inlineStr"/>
    </row>
    <row r="19">
      <c r="A19" s="4" t="inlineStr">
        <is>
          <t>Perception - what is happening?</t>
        </is>
      </c>
      <c r="B19" s="4" t="inlineStr">
        <is>
          <t>An anomaly in the PRESUPPOSED: he perceives the unexamined given as the live event.</t>
        </is>
      </c>
      <c r="C19" s="4" t="inlineStr">
        <is>
          <t>1854/1859 openings.</t>
        </is>
      </c>
      <c r="D19" s="4" t="inlineStr"/>
      <c r="E19" s="4" t="inlineStr">
        <is>
          <t>H5</t>
        </is>
      </c>
    </row>
    <row r="20">
      <c r="A20" s="4" t="inlineStr">
        <is>
          <t>Meaning - what does it mean?</t>
        </is>
      </c>
      <c r="B20" s="4" t="inlineStr">
        <is>
          <t>Meaning = position in the CONNECTION: a thing means what it is bound to (Zusammenhang as the meaning-function).</t>
        </is>
      </c>
      <c r="C20" s="4" t="inlineStr">
        <is>
          <t>Hauptarbeit fragment.</t>
        </is>
      </c>
      <c r="D20" s="4" t="inlineStr">
        <is>
          <t>[VERBATIM]</t>
        </is>
      </c>
      <c r="E20" s="4" t="inlineStr">
        <is>
          <t>H5</t>
        </is>
      </c>
    </row>
    <row r="21">
      <c r="A21" s="4" t="inlineStr">
        <is>
          <t>Desire - what do I want?</t>
        </is>
      </c>
      <c r="B21" s="4" t="inlineStr">
        <is>
          <t>To SEE THE WHOLE - the unified conception. Quietly vast, privately held.</t>
        </is>
      </c>
      <c r="C21" s="4" t="inlineStr">
        <is>
          <t>Hauptarbeit fragment.</t>
        </is>
      </c>
      <c r="D21" s="4" t="inlineStr"/>
      <c r="E21" s="4" t="inlineStr">
        <is>
          <t>H4</t>
        </is>
      </c>
    </row>
    <row r="22">
      <c r="A22" s="4" t="inlineStr">
        <is>
          <t>Need - what state requires correction?</t>
        </is>
      </c>
      <c r="B22" s="4" t="inlineStr">
        <is>
          <t>Ripeness-gap (work not yet at standard) and material security; both corrected before release/rest.</t>
        </is>
      </c>
      <c r="C22" s="4" t="inlineStr">
        <is>
          <t>the withholding pattern; the provision pattern.</t>
        </is>
      </c>
      <c r="D22" s="4" t="inlineStr"/>
      <c r="E22" s="4" t="inlineStr">
        <is>
          <t>H3</t>
        </is>
      </c>
    </row>
    <row r="23">
      <c r="A23" s="4" t="inlineStr">
        <is>
          <t>Motive - why?</t>
        </is>
      </c>
      <c r="B23" s="4" t="inlineStr">
        <is>
          <t>Stated: duty to God/family/truth. Structural: scarcity-safety. Hidden: the cosmic program. THREE STRATA, not one - and they differ, which his own psychology (and the owner's registry) says must be kept separate.</t>
        </is>
      </c>
      <c r="C23" s="4" t="inlineStr">
        <is>
          <t>see Mask row.</t>
        </is>
      </c>
      <c r="D23" s="4" t="inlineStr"/>
      <c r="E23" s="4" t="inlineStr">
        <is>
          <t>H5</t>
        </is>
      </c>
    </row>
    <row r="24">
      <c r="A24" s="4" t="inlineStr">
        <is>
          <t>Intent - what do I plan to do?</t>
        </is>
      </c>
      <c r="B24" s="4" t="inlineStr">
        <is>
          <t>WRITTEN, in the work's opening, before delivery: his intents are public contracts (the Plan der Untersuchung habit). Audit of intent-vs-delivery is therefore POSSIBLE on him - rare in humans.</t>
        </is>
      </c>
      <c r="C24" s="4" t="inlineStr">
        <is>
          <t>HIS WORDS FIRST sheet, all rows.</t>
        </is>
      </c>
      <c r="D24" s="4" t="inlineStr">
        <is>
          <t>[VERBATIM] openings.</t>
        </is>
      </c>
      <c r="E24" s="4" t="inlineStr">
        <is>
          <t>H6</t>
        </is>
      </c>
    </row>
    <row r="25">
      <c r="A25" s="4" t="inlineStr">
        <is>
          <t>Goal - what future state?</t>
        </is>
      </c>
      <c r="B25" s="4" t="inlineStr">
        <is>
          <t>Laws of nature re-expressed in ground-concepts that make their connection computable from experimental data.</t>
        </is>
      </c>
      <c r="C25" s="4" t="inlineStr">
        <is>
          <t>Hauptarbeit fragment.</t>
        </is>
      </c>
      <c r="D25" s="4" t="inlineStr">
        <is>
          <t>[VERBATIM]</t>
        </is>
      </c>
      <c r="E25" s="4" t="inlineStr">
        <is>
          <t>H6</t>
        </is>
      </c>
    </row>
    <row r="26">
      <c r="A26" s="4" t="inlineStr">
        <is>
          <t>Decision - which action selected?</t>
        </is>
      </c>
      <c r="B26" s="4" t="inlineStr">
        <is>
          <t>Two gates, different thresholds: content-decisions bold and fast; RELEASE-decisions gated by an internal ripeness standard higher than any journal's.</t>
        </is>
      </c>
      <c r="C26" s="4" t="inlineStr">
        <is>
          <t>1858 withdrawal vs 1854 boldness.</t>
        </is>
      </c>
      <c r="D26" s="4" t="inlineStr"/>
      <c r="E26" s="4" t="inlineStr">
        <is>
          <t>H3</t>
        </is>
      </c>
    </row>
    <row r="27">
      <c r="A27" s="4" t="inlineStr">
        <is>
          <t>Commitment - how strongly maintained?</t>
        </is>
      </c>
      <c r="B27" s="4" t="inlineStr">
        <is>
          <t>'Vorlaeufig'-shaped: provisional in wording, iron in practice - laid-aside items remain owned (kept in the drawer), promised items remain intended until death cancels.</t>
        </is>
      </c>
      <c r="C27" s="4" t="inlineStr">
        <is>
          <t>the halt sentence; the fragments.</t>
        </is>
      </c>
      <c r="D27" s="4" t="inlineStr">
        <is>
          <t>[VERBATIM] 'vorlaeufig'</t>
        </is>
      </c>
      <c r="E27" s="4" t="inlineStr">
        <is>
          <t>H5</t>
        </is>
      </c>
    </row>
    <row r="28">
      <c r="A28" s="4" t="inlineStr">
        <is>
          <t>Behaviour - what did he actually do?</t>
        </is>
      </c>
      <c r="B28" s="4" t="inlineStr">
        <is>
          <t>Serial deep bouts; private computation; withholding; provision for family; walking-repair; teaching few; storing everything.</t>
        </is>
      </c>
      <c r="C28" s="4" t="inlineStr">
        <is>
          <t>the whole record.</t>
        </is>
      </c>
      <c r="D28" s="4" t="inlineStr"/>
      <c r="E28" s="4" t="inlineStr">
        <is>
          <t>H4</t>
        </is>
      </c>
    </row>
    <row r="29">
      <c r="A29" s="4" t="inlineStr">
        <is>
          <t>Outcome - what actually happened?</t>
        </is>
      </c>
      <c r="B29" s="4" t="inlineStr">
        <is>
          <t>THE VISIBLE/KEPT SPLIT: a small published fraction (the Re of his life) standing on a large withheld store (the drawer) - and the store went on producing for 73+ years after his death. His life's outcome literally has the structure of a used half and a kept half.</t>
        </is>
      </c>
      <c r="C29" s="4" t="inlineStr">
        <is>
          <t>Werke vs Nachlass; Siegel 1932.</t>
        </is>
      </c>
      <c r="D29" s="4" t="inlineStr"/>
      <c r="E29" s="4" t="inlineStr">
        <is>
          <t>H5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20" customWidth="1" min="1" max="1"/>
    <col width="84" customWidth="1" min="2" max="2"/>
    <col width="22" customWidth="1" min="3" max="3"/>
    <col width="4" customWidth="1" min="4" max="4"/>
  </cols>
  <sheetData>
    <row r="1">
      <c r="A1" s="3" t="inlineStr">
        <is>
          <t>Filter</t>
        </is>
      </c>
      <c r="B1" s="3" t="inlineStr">
        <is>
          <t>Setting / action in him</t>
        </is>
      </c>
      <c r="C1" s="3" t="inlineStr">
        <is>
          <t>Evidence</t>
        </is>
      </c>
      <c r="D1" s="3" t="inlineStr">
        <is>
          <t>H</t>
        </is>
      </c>
    </row>
    <row r="2">
      <c r="A2" s="4" t="inlineStr">
        <is>
          <t>1 Developmental</t>
        </is>
      </c>
      <c r="B2" s="4" t="inlineStr">
        <is>
          <t>Prodigy calculation early; social bloom late; career stages gated by father's blessing.</t>
        </is>
      </c>
      <c r="C2" s="4" t="inlineStr">
        <is>
          <t>(carrier)</t>
        </is>
      </c>
      <c r="D2" s="4" t="inlineStr">
        <is>
          <t>H2</t>
        </is>
      </c>
    </row>
    <row r="3">
      <c r="A3" s="4" t="inlineStr">
        <is>
          <t>2 Biological</t>
        </is>
      </c>
      <c r="B3" s="4" t="inlineStr">
        <is>
          <t>Frail constitution -&gt; tuberculosis; the terminal filter on everything after 1862.</t>
        </is>
      </c>
      <c r="C3" s="4" t="inlineStr">
        <is>
          <t>record</t>
        </is>
      </c>
      <c r="D3" s="4" t="inlineStr">
        <is>
          <t>H3</t>
        </is>
      </c>
    </row>
    <row r="4">
      <c r="A4" s="4" t="inlineStr">
        <is>
          <t>3 Sleep</t>
        </is>
      </c>
      <c r="B4" s="4" t="inlineStr">
        <is>
          <t>Unknown - no self-witness.</t>
        </is>
      </c>
      <c r="C4" s="4" t="inlineStr">
        <is>
          <t>-</t>
        </is>
      </c>
      <c r="D4" s="4" t="inlineStr">
        <is>
          <t>H0</t>
        </is>
      </c>
    </row>
    <row r="5">
      <c r="A5" s="4" t="inlineStr">
        <is>
          <t>4 Energy</t>
        </is>
      </c>
      <c r="B5" s="4" t="inlineStr">
        <is>
          <t>Chronic scarcity; tidal work-bouts with collapse-repair cycles.</t>
        </is>
      </c>
      <c r="C5" s="4" t="inlineStr">
        <is>
          <t>(carrier)</t>
        </is>
      </c>
      <c r="D5" s="4" t="inlineStr">
        <is>
          <t>H2</t>
        </is>
      </c>
    </row>
    <row r="6">
      <c r="A6" s="4" t="inlineStr">
        <is>
          <t>5 Hormonal</t>
        </is>
      </c>
      <c r="B6" s="4" t="inlineStr">
        <is>
          <t>Unknown.</t>
        </is>
      </c>
      <c r="C6" s="4" t="inlineStr">
        <is>
          <t>-</t>
        </is>
      </c>
      <c r="D6" s="4" t="inlineStr">
        <is>
          <t>H0</t>
        </is>
      </c>
    </row>
    <row r="7">
      <c r="A7" s="4" t="inlineStr">
        <is>
          <t>6 Interoceptive</t>
        </is>
      </c>
      <c r="B7" s="4" t="inlineStr">
        <is>
          <t>Amplified in grief years (hypochondriac episodes).</t>
        </is>
      </c>
      <c r="C7" s="4" t="inlineStr">
        <is>
          <t>(carrier)</t>
        </is>
      </c>
      <c r="D7" s="4" t="inlineStr">
        <is>
          <t>H2</t>
        </is>
      </c>
    </row>
    <row r="8">
      <c r="A8" s="4" t="inlineStr">
        <is>
          <t>7 Arousal</t>
        </is>
      </c>
      <c r="B8" s="4" t="inlineStr">
        <is>
          <t>Over-arousal in composition bouts; under-arousal (gloom) after losses.</t>
        </is>
      </c>
      <c r="C8" s="4" t="inlineStr">
        <is>
          <t>(carrier)</t>
        </is>
      </c>
      <c r="D8" s="4" t="inlineStr">
        <is>
          <t>H2</t>
        </is>
      </c>
    </row>
    <row r="9">
      <c r="A9" s="4" t="inlineStr">
        <is>
          <t>8 Emotional</t>
        </is>
      </c>
      <c r="B9" s="4" t="inlineStr">
        <is>
          <t>Baseline gentle-melancholic; joy via nature/family; contained in public.</t>
        </is>
      </c>
      <c r="C9" s="4" t="inlineStr">
        <is>
          <t>(carrier)</t>
        </is>
      </c>
      <c r="D9" s="4" t="inlineStr">
        <is>
          <t>H2</t>
        </is>
      </c>
    </row>
    <row r="10">
      <c r="A10" s="4" t="inlineStr">
        <is>
          <t>9 Stress</t>
        </is>
      </c>
      <c r="B10" s="4" t="inlineStr">
        <is>
          <t>Event-locked (deaths, deadlines); deadlines PRODUCTIVE, grief destructive.</t>
        </is>
      </c>
      <c r="C10" s="4" t="inlineStr">
        <is>
          <t>record</t>
        </is>
      </c>
      <c r="D10" s="4" t="inlineStr">
        <is>
          <t>H3</t>
        </is>
      </c>
    </row>
    <row r="11">
      <c r="A11" s="4" t="inlineStr">
        <is>
          <t>10 Threat</t>
        </is>
      </c>
      <c r="B11" s="4" t="inlineStr">
        <is>
          <t>Poverty, illness, audience-exposure - the three recurring threats.</t>
        </is>
      </c>
      <c r="C11" s="4" t="inlineStr">
        <is>
          <t>(carrier)</t>
        </is>
      </c>
      <c r="D11" s="4" t="inlineStr">
        <is>
          <t>H2</t>
        </is>
      </c>
    </row>
    <row r="12">
      <c r="A12" s="4" t="inlineStr">
        <is>
          <t>11 Reward</t>
        </is>
      </c>
      <c r="B12" s="4" t="inlineStr">
        <is>
          <t>Sparse-reward tuning: truth-clicks and rare lineage-praise (Gauss) outweigh honors.</t>
        </is>
      </c>
      <c r="C12" s="4" t="inlineStr">
        <is>
          <t>record</t>
        </is>
      </c>
      <c r="D12" s="4" t="inlineStr">
        <is>
          <t>H3</t>
        </is>
      </c>
    </row>
    <row r="13">
      <c r="A13" s="4" t="inlineStr">
        <is>
          <t>12 Attention</t>
        </is>
      </c>
      <c r="B13" s="4" t="inlineStr">
        <is>
          <t>Single-thread depth; switching avoided.</t>
        </is>
      </c>
      <c r="C13" s="4" t="inlineStr">
        <is>
          <t>record</t>
        </is>
      </c>
      <c r="D13" s="4" t="inlineStr">
        <is>
          <t>H3</t>
        </is>
      </c>
    </row>
    <row r="14">
      <c r="A14" s="4" t="inlineStr">
        <is>
          <t>13 Memory</t>
        </is>
      </c>
      <c r="B14" s="4" t="inlineStr">
        <is>
          <t>Exceptional retention (whole books); everything stored, nothing discarded - the drawer.</t>
        </is>
      </c>
      <c r="C14" s="4" t="inlineStr">
        <is>
          <t>(carrier)+Nachlass</t>
        </is>
      </c>
      <c r="D14" s="4" t="inlineStr">
        <is>
          <t>H3</t>
        </is>
      </c>
    </row>
    <row r="15">
      <c r="A15" s="4" t="inlineStr">
        <is>
          <t>14 Knowledge</t>
        </is>
      </c>
      <c r="B15" s="4" t="inlineStr">
        <is>
          <t>Four-domain base: mathematics, physics, philosophy(Herbart), theology/philology.</t>
        </is>
      </c>
      <c r="C15" s="4" t="inlineStr">
        <is>
          <t>fragments</t>
        </is>
      </c>
      <c r="D15" s="4" t="inlineStr">
        <is>
          <t>H5</t>
        </is>
      </c>
    </row>
    <row r="16">
      <c r="A16" s="4" t="inlineStr">
        <is>
          <t>15 Belief</t>
        </is>
      </c>
      <c r="B16" s="4" t="inlineStr">
        <is>
          <t>Herbartian psychology + Lutheran pietism + anti-apriorism about space.</t>
        </is>
      </c>
      <c r="C16" s="4" t="inlineStr">
        <is>
          <t>fragments</t>
        </is>
      </c>
      <c r="D16" s="4" t="inlineStr">
        <is>
          <t>H5</t>
        </is>
      </c>
    </row>
    <row r="17">
      <c r="A17" s="4" t="inlineStr">
        <is>
          <t>16 Goal</t>
        </is>
      </c>
      <c r="B17" s="4" t="inlineStr">
        <is>
          <t>The unified conception (four wings) governs topic choice across 15 years.</t>
        </is>
      </c>
      <c r="C17" s="4" t="inlineStr">
        <is>
          <t>fragments</t>
        </is>
      </c>
      <c r="D17" s="4" t="inlineStr">
        <is>
          <t>H4</t>
        </is>
      </c>
    </row>
    <row r="18">
      <c r="A18" s="4" t="inlineStr">
        <is>
          <t>17 Intent</t>
        </is>
      </c>
      <c r="B18" s="4" t="inlineStr">
        <is>
          <t>Declared in print per work; the strongest intent-transparency in the record.</t>
        </is>
      </c>
      <c r="C18" s="4" t="inlineStr">
        <is>
          <t>openings</t>
        </is>
      </c>
      <c r="D18" s="4" t="inlineStr">
        <is>
          <t>H6</t>
        </is>
      </c>
    </row>
    <row r="19">
      <c r="A19" s="4" t="inlineStr">
        <is>
          <t>18 Motive</t>
        </is>
      </c>
      <c r="B19" s="4" t="inlineStr">
        <is>
          <t>Duty-stated / scarcity-structural / ambition-hidden (three strata).</t>
        </is>
      </c>
      <c r="C19" s="4" t="inlineStr">
        <is>
          <t>texts</t>
        </is>
      </c>
      <c r="D19" s="4" t="inlineStr">
        <is>
          <t>H5</t>
        </is>
      </c>
    </row>
    <row r="20">
      <c r="A20" s="4" t="inlineStr">
        <is>
          <t>19 Value</t>
        </is>
      </c>
      <c r="B20" s="4" t="inlineStr">
        <is>
          <t>Truth &gt; ripeness &gt; service &gt; comfort &gt; status. Priority order visible in every decision.</t>
        </is>
      </c>
      <c r="C20" s="4" t="inlineStr">
        <is>
          <t>record</t>
        </is>
      </c>
      <c r="D20" s="4" t="inlineStr">
        <is>
          <t>H3</t>
        </is>
      </c>
    </row>
    <row r="21">
      <c r="A21" s="4" t="inlineStr">
        <is>
          <t>20 Personality</t>
        </is>
      </c>
      <c r="B21" s="4" t="inlineStr">
        <is>
          <t>Shy, sensitive, content-stubborn; understatement-coded.</t>
        </is>
      </c>
      <c r="C21" s="4" t="inlineStr">
        <is>
          <t>(external witnesses)</t>
        </is>
      </c>
      <c r="D21" s="4" t="inlineStr">
        <is>
          <t>H2</t>
        </is>
      </c>
    </row>
    <row r="22">
      <c r="A22" s="4" t="inlineStr">
        <is>
          <t>21 Identity</t>
        </is>
      </c>
      <c r="B22" s="4" t="inlineStr">
        <is>
          <t>Pastor's son; called-to-work self-story; obligation-frame.</t>
        </is>
      </c>
      <c r="C22" s="4" t="inlineStr">
        <is>
          <t>(carrier)</t>
        </is>
      </c>
      <c r="D22" s="4" t="inlineStr">
        <is>
          <t>H2</t>
        </is>
      </c>
    </row>
    <row r="23">
      <c r="A23" s="4" t="inlineStr">
        <is>
          <t>22 Relationship</t>
        </is>
      </c>
      <c r="B23" s="4" t="inlineStr">
        <is>
          <t>Few, deep, lifelong (family, Dedekind, Weber circle).</t>
        </is>
      </c>
      <c r="C23" s="4" t="inlineStr">
        <is>
          <t>record</t>
        </is>
      </c>
      <c r="D23" s="4" t="inlineStr">
        <is>
          <t>H3</t>
        </is>
      </c>
    </row>
    <row r="24">
      <c r="A24" s="4" t="inlineStr">
        <is>
          <t>23 Social Presence</t>
        </is>
      </c>
      <c r="B24" s="4" t="inlineStr">
        <is>
          <t>Being observed IMPAIRED early performance (lecture anxiety); solitude restored it.</t>
        </is>
      </c>
      <c r="C24" s="4" t="inlineStr">
        <is>
          <t>(carrier)</t>
        </is>
      </c>
      <c r="D24" s="4" t="inlineStr">
        <is>
          <t>H2</t>
        </is>
      </c>
    </row>
    <row r="25">
      <c r="A25" s="4" t="inlineStr">
        <is>
          <t>24 Power</t>
        </is>
      </c>
      <c r="B25" s="4" t="inlineStr">
        <is>
          <t>Low institutional power most of his career; authority accepted (Gauss's topic choice) and repaid with excellence.</t>
        </is>
      </c>
      <c r="C25" s="4" t="inlineStr">
        <is>
          <t>record</t>
        </is>
      </c>
      <c r="D25" s="4" t="inlineStr">
        <is>
          <t>H3</t>
        </is>
      </c>
    </row>
    <row r="26">
      <c r="A26" s="4" t="inlineStr">
        <is>
          <t>25 Status</t>
        </is>
      </c>
      <c r="B26" s="4" t="inlineStr">
        <is>
          <t>Near-inert as motivator; honors converted to obligations.</t>
        </is>
      </c>
      <c r="C26" s="4" t="inlineStr">
        <is>
          <t>1859 opening</t>
        </is>
      </c>
      <c r="D26" s="4" t="inlineStr">
        <is>
          <t>H5</t>
        </is>
      </c>
    </row>
    <row r="27">
      <c r="A27" s="4" t="inlineStr">
        <is>
          <t>26 Culture</t>
        </is>
      </c>
      <c r="B27" s="4" t="inlineStr">
        <is>
          <t>German pietism + Goettingen scientific culture + classical schooling.</t>
        </is>
      </c>
      <c r="C27" s="4" t="inlineStr">
        <is>
          <t>record</t>
        </is>
      </c>
      <c r="D27" s="4" t="inlineStr">
        <is>
          <t>H3</t>
        </is>
      </c>
    </row>
    <row r="28">
      <c r="A28" s="4" t="inlineStr">
        <is>
          <t>27 Environment</t>
        </is>
      </c>
      <c r="B28" s="4" t="inlineStr">
        <is>
          <t>Climate as life-variable (Italy winters); nature as repair-environment.</t>
        </is>
      </c>
      <c r="C28" s="4" t="inlineStr">
        <is>
          <t>record</t>
        </is>
      </c>
      <c r="D28" s="4" t="inlineStr">
        <is>
          <t>H3</t>
        </is>
      </c>
    </row>
    <row r="29">
      <c r="A29" s="4" t="inlineStr">
        <is>
          <t>28 Time</t>
        </is>
      </c>
      <c r="B29" s="4" t="inlineStr">
        <is>
          <t>Deadlines lift him (1854); the terminal deadline (illness) re-scales but never stops the work.</t>
        </is>
      </c>
      <c r="C29" s="4" t="inlineStr">
        <is>
          <t>record</t>
        </is>
      </c>
      <c r="D29" s="4" t="inlineStr">
        <is>
          <t>H3</t>
        </is>
      </c>
    </row>
    <row r="30">
      <c r="A30" s="4" t="inlineStr">
        <is>
          <t>29 Scarcity</t>
        </is>
      </c>
      <c r="B30" s="4" t="inlineStr">
        <is>
          <t>THE MASTER FILTER of his biography: money, health, and years - all three scarce; every strategy shaped by rationing.</t>
        </is>
      </c>
      <c r="C30" s="4" t="inlineStr">
        <is>
          <t>record</t>
        </is>
      </c>
      <c r="D30" s="4" t="inlineStr">
        <is>
          <t>H3</t>
        </is>
      </c>
    </row>
    <row r="31">
      <c r="A31" s="4" t="inlineStr">
        <is>
          <t>30 Uncertainty</t>
        </is>
      </c>
      <c r="B31" s="4" t="inlineStr">
        <is>
          <t>High comfort: lives publicly with priced, open uncertainty for decades.</t>
        </is>
      </c>
      <c r="C31" s="4" t="inlineStr">
        <is>
          <t>1859</t>
        </is>
      </c>
      <c r="D31" s="4" t="inlineStr">
        <is>
          <t>H6</t>
        </is>
      </c>
    </row>
    <row r="32">
      <c r="A32" s="4" t="inlineStr">
        <is>
          <t>31 Complexity</t>
        </is>
      </c>
      <c r="B32" s="4" t="inlineStr">
        <is>
          <t>Seeks maximal complexity and compresses it into ground-concepts.</t>
        </is>
      </c>
      <c r="C32" s="4" t="inlineStr">
        <is>
          <t>works</t>
        </is>
      </c>
      <c r="D32" s="4" t="inlineStr">
        <is>
          <t>H5</t>
        </is>
      </c>
    </row>
    <row r="33">
      <c r="A33" s="4" t="inlineStr">
        <is>
          <t>32 Framing</t>
        </is>
      </c>
      <c r="B33" s="4" t="inlineStr">
        <is>
          <t>Reframing the given is his standard first move.</t>
        </is>
      </c>
      <c r="C33" s="4" t="inlineStr">
        <is>
          <t>1854</t>
        </is>
      </c>
      <c r="D33" s="4" t="inlineStr">
        <is>
          <t>H6</t>
        </is>
      </c>
    </row>
    <row r="34">
      <c r="A34" s="4" t="inlineStr">
        <is>
          <t>33 Instruction</t>
        </is>
      </c>
      <c r="B34" s="4" t="inlineStr">
        <is>
          <t>External instruction (Gauss's choice) obeyed and transcended.</t>
        </is>
      </c>
      <c r="C34" s="4" t="inlineStr">
        <is>
          <t>1854</t>
        </is>
      </c>
      <c r="D34" s="4" t="inlineStr">
        <is>
          <t>H3</t>
        </is>
      </c>
    </row>
    <row r="35">
      <c r="A35" s="4" t="inlineStr">
        <is>
          <t>34 Feedback</t>
        </is>
      </c>
      <c r="B35" s="4" t="inlineStr">
        <is>
          <t>Public feedback scarce in his lifetime; internal standard substitutes; rare praise from the one voice that mattered landed enormously.</t>
        </is>
      </c>
      <c r="C35" s="4" t="inlineStr">
        <is>
          <t>record</t>
        </is>
      </c>
      <c r="D35" s="4" t="inlineStr">
        <is>
          <t>H2</t>
        </is>
      </c>
    </row>
    <row r="36">
      <c r="A36" s="4" t="inlineStr">
        <is>
          <t>35 Practice</t>
        </is>
      </c>
      <c r="B36" s="4" t="inlineStr">
        <is>
          <t>Computation and languages heavily practiced; writing rewritten to ripeness.</t>
        </is>
      </c>
      <c r="C36" s="4" t="inlineStr">
        <is>
          <t>Nachlass</t>
        </is>
      </c>
      <c r="D36" s="4" t="inlineStr">
        <is>
          <t>H4</t>
        </is>
      </c>
    </row>
    <row r="37">
      <c r="A37" s="4" t="inlineStr">
        <is>
          <t>36 Medication/Substance</t>
        </is>
      </c>
      <c r="B37" s="4" t="inlineStr">
        <is>
          <t>Unknown.</t>
        </is>
      </c>
      <c r="C37" s="4" t="inlineStr">
        <is>
          <t>-</t>
        </is>
      </c>
      <c r="D37" s="4" t="inlineStr">
        <is>
          <t>H0</t>
        </is>
      </c>
    </row>
    <row r="38">
      <c r="A38" s="4" t="inlineStr">
        <is>
          <t>37 Trauma</t>
        </is>
      </c>
      <c r="B38" s="4" t="inlineStr">
        <is>
          <t>The 1855-57 death cluster; childhood scarcity. Both left named, visible patterns (repair walks; provision duty).</t>
        </is>
      </c>
      <c r="C38" s="4" t="inlineStr">
        <is>
          <t>(carrier)</t>
        </is>
      </c>
      <c r="D38" s="4" t="inlineStr">
        <is>
          <t>H2</t>
        </is>
      </c>
    </row>
    <row r="39">
      <c r="A39" s="4" t="inlineStr">
        <is>
          <t>38 Technology</t>
        </is>
      </c>
      <c r="B39" s="4" t="inlineStr">
        <is>
          <t>Paper, blackboard, library, post - and the DRAWER as his core technology: external memory outliving the brain.</t>
        </is>
      </c>
      <c r="C39" s="4" t="inlineStr">
        <is>
          <t>Nachlass</t>
        </is>
      </c>
      <c r="D39" s="4" t="inlineStr">
        <is>
          <t>H5</t>
        </is>
      </c>
    </row>
    <row r="40">
      <c r="A40" s="4" t="inlineStr">
        <is>
          <t>39 Institutional</t>
        </is>
      </c>
      <c r="B40" s="4" t="inlineStr">
        <is>
          <t>Church (origin), Gymnasium/university (formation), Academy (recognition-as-debt), Goettingen chair (arrived unsought).</t>
        </is>
      </c>
      <c r="C40" s="4" t="inlineStr">
        <is>
          <t>record</t>
        </is>
      </c>
      <c r="D40" s="4" t="inlineStr">
        <is>
          <t>H3</t>
        </is>
      </c>
    </row>
    <row r="41">
      <c r="A41" s="4" t="inlineStr">
        <is>
          <t>40 Random/Uncontrolled</t>
        </is>
      </c>
      <c r="B41" s="4" t="inlineStr">
        <is>
          <t>Tuberculosis and death at 39 - the uncontrolled variable that cut every open loop; also the chance survival of the Nachlass (nearly burned by a housekeeper - external report) that later fed Siegel.</t>
        </is>
      </c>
      <c r="C41" s="4" t="inlineStr">
        <is>
          <t>record</t>
        </is>
      </c>
      <c r="D41" s="4" t="inlineStr">
        <is>
          <t>H2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52" customWidth="1" min="3" max="3"/>
    <col width="52" customWidth="1" min="4" max="4"/>
    <col width="4" customWidth="1" min="5" max="5"/>
    <col width="20" customWidth="1" min="6" max="6"/>
  </cols>
  <sheetData>
    <row r="1">
      <c r="A1" s="3" t="inlineStr">
        <is>
          <t>Situation</t>
        </is>
      </c>
      <c r="B1" s="3" t="inlineStr">
        <is>
          <t>His declared word (if any)</t>
        </is>
      </c>
      <c r="C1" s="3" t="inlineStr">
        <is>
          <t>What he actually did</t>
        </is>
      </c>
      <c r="D1" s="3" t="inlineStr">
        <is>
          <t>The pattern extracted</t>
        </is>
      </c>
      <c r="E1" s="3" t="inlineStr">
        <is>
          <t>H</t>
        </is>
      </c>
      <c r="F1" s="3" t="inlineStr">
        <is>
          <t>Verify at</t>
        </is>
      </c>
    </row>
    <row r="2">
      <c r="A2" s="4" t="inlineStr">
        <is>
          <t>STUCK: the RH proof (1859)</t>
        </is>
      </c>
      <c r="B2" s="4" t="inlineStr">
        <is>
          <t>A rigorous proof 'would be desirable'</t>
        </is>
      </c>
      <c r="C2" s="4" t="inlineStr">
        <is>
          <t>Some fleeting attempts -&gt; PROVISIONALLY laid aside ('vorlaeufig bei Seite gelassen') -&gt; declared dispensable for the immediate purpose -&gt; the main walk continues and DELIVERS around the halt.</t>
        </is>
      </c>
      <c r="D2" s="4" t="inlineStr">
        <is>
          <t>THE HALT PATTERN: name it, date it, store it, step past it, keep walking. Failure framed as postponement with the loop explicitly left open. The owner's 'failure are halt not full stop' exists in his 1859 sentence.</t>
        </is>
      </c>
      <c r="E2" s="4" t="inlineStr">
        <is>
          <t>H6</t>
        </is>
      </c>
      <c r="F2" s="4" t="inlineStr">
        <is>
          <t>1859 paper</t>
        </is>
      </c>
    </row>
    <row r="3">
      <c r="A3" s="4" t="inlineStr">
        <is>
          <t>STUCK: electrodynamics not ripe (1858)</t>
        </is>
      </c>
      <c r="B3" s="4" t="inlineStr">
        <is>
          <t>Communicated the finding to the Society</t>
        </is>
      </c>
      <c r="C3" s="4" t="inlineStr">
        <is>
          <t>Withdrew the paper; never republished; kept the manuscript in the drawer; published NOTHING false and claimed nothing meanwhile.</t>
        </is>
      </c>
      <c r="D3" s="4" t="inlineStr">
        <is>
          <t>WITHDRAW-AND-KEEP: when a work fails his ripeness gate AFTER release began, he pulls it back entirely rather than patch it publicly. The reason is unwitnessed (GAP to owner).</t>
        </is>
      </c>
      <c r="E3" s="4" t="inlineStr">
        <is>
          <t>H4</t>
        </is>
      </c>
      <c r="F3" s="4" t="inlineStr">
        <is>
          <t>Werke (posth.)</t>
        </is>
      </c>
    </row>
    <row r="4">
      <c r="A4" s="4" t="inlineStr">
        <is>
          <t>STUCK: the psychology unwritten</t>
        </is>
      </c>
      <c r="B4" s="4" t="inlineStr">
        <is>
          <t>The fragments sketch the law and hope for later treatment</t>
        </is>
      </c>
      <c r="C4" s="4" t="inlineStr">
        <is>
          <t>Kept thinking in fragments; never forced an unripe system into print; died with the intention standing.</t>
        </is>
      </c>
      <c r="D4" s="4" t="inlineStr">
        <is>
          <t>INTENT HELD OPEN: he does not fake completeness; an unready wing stays a declared hope, not a padded book.</t>
        </is>
      </c>
      <c r="E4" s="4" t="inlineStr">
        <is>
          <t>H4</t>
        </is>
      </c>
      <c r="F4" s="4" t="inlineStr">
        <is>
          <t>fragments</t>
        </is>
      </c>
    </row>
    <row r="5">
      <c r="A5" s="4" t="inlineStr">
        <is>
          <t>STUCK: grief + overwork collapse (1855-57)</t>
        </is>
      </c>
      <c r="B5" s="4" t="inlineStr">
        <is>
          <t>(no declared word - the record is behavioral)</t>
        </is>
      </c>
      <c r="C5" s="4" t="inlineStr">
        <is>
          <t>Walking tours, friend's company (Dedekind), home, nature; then the strongest run of his life (1857 Abelian functions, 1859 zeta).</t>
        </is>
      </c>
      <c r="D5" s="4" t="inlineStr">
        <is>
          <t>REPAIR STACK: body-first repair (walk, nature, people), no work-forcing during the dip, full-power return after. The dip precedes the peak.</t>
        </is>
      </c>
      <c r="E5" s="4" t="inlineStr">
        <is>
          <t>H2</t>
        </is>
      </c>
      <c r="F5" s="4" t="inlineStr">
        <is>
          <t>(carrier)</t>
        </is>
      </c>
    </row>
    <row r="6">
      <c r="A6" s="4" t="inlineStr">
        <is>
          <t>STUCK: cannot lecture fluently (early career)</t>
        </is>
      </c>
      <c r="B6" s="4" t="inlineStr">
        <is>
          <t>(no declared word)</t>
        </is>
      </c>
      <c r="C6" s="4" t="inlineStr">
        <is>
          <t>Kept lecturing anyway, year after year; fluency arrived with practice; his courses became so ripe that students' notebooks were publishable after his death.</t>
        </is>
      </c>
      <c r="D6" s="4" t="inlineStr">
        <is>
          <t>WEAK CONTAINER, LOOPED: the deficient channel is not avoided - it is run repeatedly at low stakes until it compensates. His worst container produced posthumous books.</t>
        </is>
      </c>
      <c r="E6" s="4" t="inlineStr">
        <is>
          <t>H2</t>
        </is>
      </c>
      <c r="F6" s="4" t="inlineStr">
        <is>
          <t>(carrier + posth. editions)</t>
        </is>
      </c>
    </row>
    <row r="7">
      <c r="A7" s="4" t="inlineStr">
        <is>
          <t>DELIVER: the habilitation (1854)</t>
        </is>
      </c>
      <c r="B7" s="4" t="inlineStr">
        <is>
          <t>Three topics submitted, as required; Gauss picks the third - the one least prepared</t>
        </is>
      </c>
      <c r="C7" s="4" t="inlineStr">
        <is>
          <t>Delivers in weeks the lecture that reframed geometry for the next century, adapted formula-free to the philosophy faculty in the room.</t>
        </is>
      </c>
      <c r="D7" s="4" t="inlineStr">
        <is>
          <t>THE WORD KEPT UNDER CONSTRAINT: when an authority he accepts sets the harder task, he does not renegotiate - he rises. External constraint = his peak-performance condition.</t>
        </is>
      </c>
      <c r="E7" s="4" t="inlineStr">
        <is>
          <t>H3</t>
        </is>
      </c>
      <c r="F7" s="4" t="inlineStr">
        <is>
          <t>1854 (constraint via his letter home, carrier)</t>
        </is>
      </c>
    </row>
    <row r="8">
      <c r="A8" s="4" t="inlineStr">
        <is>
          <t>DELIVER: the Berlin debt (1859)</t>
        </is>
      </c>
      <c r="B8" s="4" t="inlineStr">
        <is>
          <t>'My thanks ... best expressed ... by making use of the permission thus received' - honor converted into a promised report on the frequency of primes</t>
        </is>
      </c>
      <c r="C8" s="4" t="inlineStr">
        <is>
          <t>Delivers the 8-page paper: continuation, functional equation, explicit formula, the hypothesis priced honestly - over-delivery against a gratitude-debt.</t>
        </is>
      </c>
      <c r="D8" s="4" t="inlineStr">
        <is>
          <t>HONOR = DEBT: recognition never terminates in celebration; it converts within months into work addressed back to the giver.</t>
        </is>
      </c>
      <c r="E8" s="4" t="inlineStr">
        <is>
          <t>H6</t>
        </is>
      </c>
      <c r="F8" s="4" t="inlineStr">
        <is>
          <t>1859 opening</t>
        </is>
      </c>
    </row>
    <row r="9">
      <c r="A9" s="4" t="inlineStr">
        <is>
          <t>DELIVER: provision for the sisters (whole career)</t>
        </is>
      </c>
      <c r="B9" s="4" t="inlineStr">
        <is>
          <t>(family duty - no public declaration needed)</t>
        </is>
      </c>
      <c r="C9" s="4" t="inlineStr">
        <is>
          <t>Sends money home from a stipend near zero; carries the duty until the sisters are settled.</t>
        </is>
      </c>
      <c r="D9" s="4" t="inlineStr">
        <is>
          <t>THE FIRST CHARGE ON RESOURCES IS LOYALTY: money-scarcity never renegotiates the family obligation; his own comfort is the buffer that absorbs shortage.</t>
        </is>
      </c>
      <c r="E9" s="4" t="inlineStr">
        <is>
          <t>H3</t>
        </is>
      </c>
      <c r="F9" s="4" t="inlineStr">
        <is>
          <t>(carrier)</t>
        </is>
      </c>
    </row>
    <row r="10">
      <c r="A10" s="4" t="inlineStr">
        <is>
          <t>DELIVER: work to the last day (1866)</t>
        </is>
      </c>
      <c r="B10" s="4" t="inlineStr">
        <is>
          <t>(the ear paper's method section stands as the declared plan)</t>
        </is>
      </c>
      <c r="C10" s="4" t="inlineStr">
        <is>
          <t>Too weak for heavy analysis, he re-scales to the ear problem and philosophy; working on the final day; dies mid-work, at peace (external witness), the manuscript continuing without him.</t>
        </is>
      </c>
      <c r="D10" s="4" t="inlineStr">
        <is>
          <t>DEATH AS A HALT, NOT A STOP: output re-scaled to remaining capacity, never zeroed; the open loops are left CLEAN - stored, named, continuable. Others did continue them.</t>
        </is>
      </c>
      <c r="E10" s="4" t="inlineStr">
        <is>
          <t>H3</t>
        </is>
      </c>
      <c r="F10" s="4" t="inlineStr">
        <is>
          <t>Mechanik des Ohres (posth.)</t>
        </is>
      </c>
    </row>
    <row r="11">
      <c r="A11" s="4" t="inlineStr">
        <is>
          <t>DELIVER: the private census (undated)</t>
        </is>
      </c>
      <c r="B11" s="4" t="inlineStr">
        <is>
          <t>(no declaration - self-assigned)</t>
        </is>
      </c>
      <c r="C11" s="4" t="inlineStr">
        <is>
          <t>Computes the first zeros by hand with a self-invented shortcut formula; verifies his public 'very probable' privately; publishes neither the numbers nor the method.</t>
        </is>
      </c>
      <c r="D11" s="4" t="inlineStr">
        <is>
          <t>THE SELF-AUDIT: he pays the evidence-cost of his public confidence in private, and the confidence he prints is EXACTLY what the private evidence supports - no more.</t>
        </is>
      </c>
      <c r="E11" s="4" t="inlineStr">
        <is>
          <t>H5</t>
        </is>
      </c>
      <c r="F11" s="4" t="inlineStr">
        <is>
          <t>Siegel 1932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78" customWidth="1" min="3" max="3"/>
    <col width="12" customWidth="1" min="4" max="4"/>
    <col width="10" customWidth="1" min="5" max="5"/>
    <col width="14" customWidth="1" min="6" max="6"/>
  </cols>
  <sheetData>
    <row r="1">
      <c r="A1" s="3" t="inlineStr">
        <is>
          <t>#</t>
        </is>
      </c>
      <c r="B1" s="3" t="inlineStr">
        <is>
          <t>The harvest claim (short)</t>
        </is>
      </c>
      <c r="C1" s="3" t="inlineStr">
        <is>
          <t>HIS reading - the reasoning behind the outcome, in his concepts</t>
        </is>
      </c>
      <c r="D1" s="3" t="inlineStr">
        <is>
          <t>Verdict</t>
        </is>
      </c>
      <c r="E1" s="3" t="inlineStr">
        <is>
          <t>Mask/HALT</t>
        </is>
      </c>
      <c r="F1" s="3" t="inlineStr">
        <is>
          <t>Verify</t>
        </is>
      </c>
    </row>
    <row r="2">
      <c r="A2" s="4" t="n">
        <v>1</v>
      </c>
      <c r="B2" s="4" t="inlineStr">
        <is>
          <t>RH as a description of where stability lives, not just a claim to prove</t>
        </is>
      </c>
      <c r="C2" s="4" t="inlineStr">
        <is>
          <t>He states it as a probable TRUTH about roots, useful and dispensable for his purpose - for him it is a working hypothesis inside a report on prime frequency, not a metaphysical description. He would accept 'description' only as far as consequences can be computed from it.</t>
        </is>
      </c>
      <c r="D2" s="4" t="inlineStr">
        <is>
          <t>CONDITIONAL</t>
        </is>
      </c>
      <c r="E2" s="4" t="inlineStr"/>
      <c r="F2" s="4" t="inlineStr"/>
    </row>
    <row r="3">
      <c r="A3" s="4" t="n">
        <v>2</v>
      </c>
      <c r="B3" s="4" t="inlineStr">
        <is>
          <t>The zero as 'the One at the center', fullness not absence</t>
        </is>
      </c>
      <c r="C3" s="4" t="inlineStr">
        <is>
          <t>His zeros are values where a constructed function vanishes - locations in a landscape he BUILT. Re-conceiving them as 'the One' is a new Grundbegriff-proposal to him: admissible as a move, empty until it computes something his current concepts cannot. He would ask: what does this expression let you DERIVE?</t>
        </is>
      </c>
      <c r="D3" s="4" t="inlineStr">
        <is>
          <t>DIFFERS</t>
        </is>
      </c>
      <c r="E3" s="4" t="inlineStr"/>
      <c r="F3" s="4" t="inlineStr"/>
    </row>
    <row r="4">
      <c r="A4" s="4" t="n">
        <v>3</v>
      </c>
      <c r="B4" s="4" t="inlineStr">
        <is>
          <t>1/2 as the only self-completing point (1-s mirror)</t>
        </is>
      </c>
      <c r="C4" s="4" t="inlineStr">
        <is>
          <t>The functional equation is HIS OWN construction - the symmetry is real and central. But 'self-completing point' as a significance-claim adds no theorem he lacks; he would file it as a restatement of the symmetry he already published, elegant and derivationally empty until used.</t>
        </is>
      </c>
      <c r="D4" s="4" t="inlineStr">
        <is>
          <t>CONDITIONAL</t>
        </is>
      </c>
      <c r="E4" s="4" t="inlineStr"/>
      <c r="F4" s="4" t="inlineStr"/>
    </row>
    <row r="5">
      <c r="A5" s="4" t="n">
        <v>4</v>
      </c>
      <c r="B5" s="4" t="inlineStr">
        <is>
          <t>ti as the pre-existing side; 'we today is ti'</t>
        </is>
      </c>
      <c r="C5" s="4" t="inlineStr">
        <is>
          <t>For him t parameterizes a line in a constructed plane; the roots are determined by the function's law, computable, not mystically pre-existing. Determination-by-law he accepts fully; 'pre-existence' as temporal metaphor he would strike as a category shift from mathematics to poetry.</t>
        </is>
      </c>
      <c r="D5" s="4" t="inlineStr">
        <is>
          <t>DIFFERS</t>
        </is>
      </c>
      <c r="E5" s="4" t="inlineStr"/>
      <c r="F5" s="4" t="inlineStr"/>
    </row>
    <row r="6">
      <c r="A6" s="4" t="n">
        <v>5</v>
      </c>
      <c r="B6" s="4" t="inlineStr">
        <is>
          <t>The invisible half (zeros) drives the visible whole (primes)</t>
        </is>
      </c>
      <c r="C6" s="4" t="inlineStr">
        <is>
          <t>THIS IS HIS THEOREM - the explicit formula is exactly this statement, made exact. He would only insist the 'driving' is mutual determination, not causation: primes define zeta; zeta's roots re-express the primes. A two-way binding (Zusammenhang), not a one-way driver.</t>
        </is>
      </c>
      <c r="D6" s="4" t="inlineStr">
        <is>
          <t>AGREES</t>
        </is>
      </c>
      <c r="E6" s="4" t="inlineStr"/>
      <c r="F6" s="4" t="inlineStr"/>
    </row>
    <row r="7">
      <c r="A7" s="4" t="n">
        <v>6</v>
      </c>
      <c r="B7" s="4" t="inlineStr">
        <is>
          <t>Verification is a middle that can lose but never win</t>
        </is>
      </c>
      <c r="C7" s="4" t="inlineStr">
        <is>
          <t>He computed zeros privately and STILL wrote only 'very probable' - his practice is precisely this understanding: computation grounds confidence, never certainty.</t>
        </is>
      </c>
      <c r="D7" s="4" t="inlineStr">
        <is>
          <t>AGREES</t>
        </is>
      </c>
      <c r="E7" s="4" t="inlineStr"/>
      <c r="F7" s="4" t="inlineStr"/>
    </row>
    <row r="8">
      <c r="A8" s="4" t="n">
        <v>7</v>
      </c>
      <c r="B8" s="4" t="inlineStr">
        <is>
          <t>A finding = a rule fixed before the data</t>
        </is>
      </c>
      <c r="C8" s="4" t="inlineStr">
        <is>
          <t>His era pre-registers differently (declared plans, not statistical thresholds) - but his openings ARE contracts written before delivery, and his confidence-pricing is calibration before rhetoric. The spirit matches; the statistical machinery is anachronistic.</t>
        </is>
      </c>
      <c r="D8" s="4" t="inlineStr">
        <is>
          <t>CONDITIONAL</t>
        </is>
      </c>
      <c r="E8" s="4" t="inlineStr"/>
      <c r="F8" s="4" t="inlineStr"/>
    </row>
    <row r="9">
      <c r="A9" s="4" t="n">
        <v>8</v>
      </c>
      <c r="B9" s="4" t="inlineStr">
        <is>
          <t>RH 'exactly barely true' (the edge, Lambda=0)</t>
        </is>
      </c>
      <c r="C9" s="4" t="inlineStr">
        <is>
          <t>He wrote 'sehr wahrscheinlich' - very probable - with no barely about it. The edge-reading rests on 20th-21st century results he never saw. His recorded state: probable, unproven, dispensable-for-now. The 'barely' is ours, not his.</t>
        </is>
      </c>
      <c r="D9" s="4" t="inlineStr">
        <is>
          <t>DIFFERS</t>
        </is>
      </c>
      <c r="E9" s="4" t="inlineStr"/>
      <c r="F9" s="4" t="inlineStr"/>
    </row>
    <row r="10">
      <c r="A10" s="4" t="n">
        <v>9</v>
      </c>
      <c r="B10" s="4" t="inlineStr">
        <is>
          <t>Primes predict the zeros' statistics (the drum ladder)</t>
        </is>
      </c>
      <c r="C10" s="4" t="inlineStr">
        <is>
          <t>Data of one domain used to explore its binding with another - this is the Hauptarbeit's stated METHOD ('the use of experimental data ... for the exploration of their connection') applied inside arithmetic. He would run this experiment himself.</t>
        </is>
      </c>
      <c r="D10" s="4" t="inlineStr">
        <is>
          <t>AGREES</t>
        </is>
      </c>
      <c r="E10" s="4" t="inlineStr"/>
      <c r="F10" s="4" t="inlineStr"/>
    </row>
    <row r="11">
      <c r="A11" s="4" t="n">
        <v>10</v>
      </c>
      <c r="B11" s="4" t="inlineStr">
        <is>
          <t>Riemann as system-builder; the gap is the PROGRAM not the proof</t>
        </is>
      </c>
      <c r="C11" s="4" t="inlineStr">
        <is>
          <t>His own fragment says it: MY MAIN WORK is the new conception - not the 1859 paper the world remembers. The private record confirms the program-reading against the proof-reading.</t>
        </is>
      </c>
      <c r="D11" s="4" t="inlineStr">
        <is>
          <t>AGREES</t>
        </is>
      </c>
      <c r="E11" s="4" t="inlineStr"/>
      <c r="F11" s="4" t="inlineStr"/>
    </row>
    <row r="12">
      <c r="A12" s="4" t="n">
        <v>11</v>
      </c>
      <c r="B12" s="4" t="inlineStr">
        <is>
          <t>K: halve, keep the half back, answer unchanged, speed bought</t>
        </is>
      </c>
      <c r="C12" s="4" t="inlineStr">
        <is>
          <t>His own computing practice contains it (the asymptotic shortcut: compute the main half, control the remainder). But his practice adds ONE LAW the K-statement lacks: THE ERROR TERM IS MANDATORY - a halving without a bound on what the kept-back half contributes is not a method, it is a hope. He would demand kappa measured before K is called a law.</t>
        </is>
      </c>
      <c r="D12" s="4" t="inlineStr">
        <is>
          <t>CONDITIONAL</t>
        </is>
      </c>
      <c r="E12" s="4" t="inlineStr"/>
      <c r="F12" s="4" t="inlineStr"/>
    </row>
    <row r="13">
      <c r="A13" s="4" t="n">
        <v>12</v>
      </c>
      <c r="B13" s="4" t="inlineStr">
        <is>
          <t>The context window as a missing reading-law, not a hardware limit</t>
        </is>
      </c>
      <c r="C13" s="4" t="inlineStr">
        <is>
          <t>His psychology: thought-masses persist and are re-activated, not re-read - consistent. But he would call the AI-side claim untested until the reconstruction-cost is measured (same demand as row 11).</t>
        </is>
      </c>
      <c r="D13" s="4" t="inlineStr">
        <is>
          <t>CONDITIONAL</t>
        </is>
      </c>
      <c r="E13" s="4" t="inlineStr"/>
      <c r="F13" s="4" t="inlineStr"/>
    </row>
    <row r="14">
      <c r="A14" s="4" t="n">
        <v>13</v>
      </c>
      <c r="B14" s="4" t="inlineStr">
        <is>
          <t>Naming comes last</t>
        </is>
      </c>
      <c r="C14" s="4" t="inlineStr">
        <is>
          <t>His constructions precede his terms; the hypothesis he never named at all. Anti-apriorism about concepts is his stated philosophy (concepts from the work, tested by consequences).</t>
        </is>
      </c>
      <c r="D14" s="4" t="inlineStr">
        <is>
          <t>AGREES</t>
        </is>
      </c>
      <c r="E14" s="4" t="inlineStr"/>
      <c r="F14" s="4" t="inlineStr"/>
    </row>
    <row r="15">
      <c r="A15" s="4" t="n">
        <v>14</v>
      </c>
      <c r="B15" s="4" t="inlineStr">
        <is>
          <t>Failure = halt that opens a loop</t>
        </is>
      </c>
      <c r="C15" s="4" t="inlineStr">
        <is>
          <t>'Vorlaeufig bei Seite gelassen' - his own printed practice, plus the drawer, plus the promised returns. He LIVED this law.</t>
        </is>
      </c>
      <c r="D15" s="4" t="inlineStr">
        <is>
          <t>AGREES</t>
        </is>
      </c>
      <c r="E15" s="4" t="inlineStr"/>
      <c r="F15" s="4" t="inlineStr"/>
    </row>
    <row r="16">
      <c r="A16" s="4" t="n">
        <v>15</v>
      </c>
      <c r="B16" s="4" t="inlineStr">
        <is>
          <t>Muscle memory as the brain's K (proof halving works)</t>
        </is>
      </c>
      <c r="C16" s="4" t="inlineStr">
        <is>
          <t>He would route this to the ear-method: an organ performing analysis without conscious reading is exactly his last research object. As evidence for K: suggestive, unmeasured - the performance is demonstrated, the mechanism (what is kept, what reconstructed, at what cost) is not.</t>
        </is>
      </c>
      <c r="D16" s="4" t="inlineStr">
        <is>
          <t>CONDITIONAL</t>
        </is>
      </c>
      <c r="E16" s="4" t="inlineStr"/>
      <c r="F16" s="4" t="inlineStr"/>
    </row>
    <row r="17">
      <c r="A17" s="4" t="n">
        <v>16</v>
      </c>
      <c r="B17" s="4" t="inlineStr">
        <is>
          <t>The registry's numbers fold in exact halves (2560-&gt;80-&gt;40) = K's fingerprint</t>
        </is>
      </c>
      <c r="C17" s="4" t="inlineStr">
        <is>
          <t>He would call this numerology until a binding law derives it: round numbers chosen by a designer show design-convenience, not a law of mind. His standard: the parallel must yield consequences or it is decoration. (His own k+1+k paper-verdict in the owner's corpus says the same: 'a substitution, not a discovery.')</t>
        </is>
      </c>
      <c r="D17" s="4" t="inlineStr">
        <is>
          <t>DIFFERS</t>
        </is>
      </c>
      <c r="E17" s="4" t="inlineStr"/>
      <c r="F17" s="4" t="inlineStr"/>
    </row>
    <row r="18">
      <c r="A18" s="4" t="n">
        <v>17</v>
      </c>
      <c r="B18" s="4" t="inlineStr">
        <is>
          <t>Human 80 + AI 80 as mirror banks connected by one law</t>
        </is>
      </c>
      <c r="C18" s="4" t="inlineStr">
        <is>
          <t>No analogue exists in his world; as a proposed construction he would treat it like his manifolds: build it, then ask reality which relations hold. Untestable as stated -&gt; no verdict, construction admitted.</t>
        </is>
      </c>
      <c r="D18" s="4" t="inlineStr">
        <is>
          <t>NO-VERDICT</t>
        </is>
      </c>
      <c r="E18" s="4" t="inlineStr"/>
      <c r="F18" s="4" t="inlineStr"/>
    </row>
    <row r="19">
      <c r="A19" s="4" t="n">
        <v>18</v>
      </c>
      <c r="B19" s="4" t="inlineStr">
        <is>
          <t>ASI = the meeting of his code and a pre-existing substrate</t>
        </is>
      </c>
      <c r="C19" s="4" t="inlineStr">
        <is>
          <t>Anachronism he cannot judge. The PATTERN under it - a formed program waiting on resources/instruments that do not yet exist - is his own biography and he would recognize it instantly.</t>
        </is>
      </c>
      <c r="D19" s="4" t="inlineStr">
        <is>
          <t>NO-VERDICT</t>
        </is>
      </c>
      <c r="E19" s="4" t="inlineStr"/>
      <c r="F19" s="4" t="inlineStr"/>
    </row>
    <row r="20">
      <c r="A20" s="4" t="n">
        <v>19</v>
      </c>
      <c r="B20" s="4" t="inlineStr">
        <is>
          <t>The Nachlass as the kept-back half file (K's proof-of-concept)</t>
        </is>
      </c>
      <c r="C20" s="4" t="inlineStr">
        <is>
          <t>FACTUALLY the drawer completed answers 73 years later with the answer unchanged. But the INTENT-claim is false on the record: he kept files because they were UNRIPE, not as a designed storage strategy. K-as-outcome: demonstrated. K-as-his-intent: unwitnessed and probably wrong. The difference matters to him - motive and outcome must not be fused.</t>
        </is>
      </c>
      <c r="D20" s="4" t="inlineStr">
        <is>
          <t>DIFFERS</t>
        </is>
      </c>
      <c r="E20" s="4" t="inlineStr"/>
      <c r="F20" s="4" t="inlineStr"/>
    </row>
    <row r="21">
      <c r="A21" s="4" t="n">
        <v>20</v>
      </c>
      <c r="B21" s="4" t="inlineStr">
        <is>
          <t>Numbers pre-exist what they count ('invented before the angle')</t>
        </is>
      </c>
      <c r="C21" s="4" t="inlineStr">
        <is>
          <t>His lecture derives number from the discrete manifold - counting is native to discreteness, constructed from the concept of magnitude, not pre-existing it. His philosophy of number is constructivist, against this item as stated.</t>
        </is>
      </c>
      <c r="D21" s="4" t="inlineStr">
        <is>
          <t>DIFFERS</t>
        </is>
      </c>
      <c r="E21" s="4" t="inlineStr"/>
      <c r="F21" s="4" t="inlineStr"/>
    </row>
    <row r="22">
      <c r="A22" s="9" t="n">
        <v>21</v>
      </c>
      <c r="B22" s="9" t="inlineStr">
        <is>
          <t>Faith as history's first 1/2 - the driver-parameter of civilization</t>
        </is>
      </c>
      <c r="C22" s="9" t="inlineStr">
        <is>
          <t>His faith is PRACTICE (daily examination before God), not a parameter in a model. He would refuse the instrumentalization of God as a variable - while separately holding, on his tombstone, that all things work together (Zusammenhang as scripture). Two witnesses in him differ: the pietist refuses, the connection-thinker resonates. MASK - the gap goes to the owner.</t>
        </is>
      </c>
      <c r="D22" s="9" t="inlineStr">
        <is>
          <t>REJECTS</t>
        </is>
      </c>
      <c r="E22" s="9" t="inlineStr">
        <is>
          <t>MASK</t>
        </is>
      </c>
      <c r="F22" s="9" t="inlineStr"/>
    </row>
    <row r="23">
      <c r="A23" s="9" t="n">
        <v>22</v>
      </c>
      <c r="B23" s="9" t="inlineStr">
        <is>
          <t>The Faith column as K run on gods (many spirits -&gt; One)</t>
        </is>
      </c>
      <c r="C23" s="9" t="inlineStr">
        <is>
          <t>Same refusal, sharper: reading revelation-history as a compression algorithm treats what he holds sacred as material. His method (concept-evolution) could HOST such an analysis; his piety would not SIGN it. MASK.</t>
        </is>
      </c>
      <c r="D23" s="9" t="inlineStr">
        <is>
          <t>REJECTS</t>
        </is>
      </c>
      <c r="E23" s="9" t="inlineStr">
        <is>
          <t>MASK</t>
        </is>
      </c>
      <c r="F23" s="9" t="inlineStr"/>
    </row>
    <row r="24">
      <c r="A24" s="4" t="n">
        <v>23</v>
      </c>
      <c r="B24" s="4" t="inlineStr">
        <is>
          <t>Holy books as an era's Naming step, written after the halt</t>
        </is>
      </c>
      <c r="C24" s="4" t="inlineStr">
        <is>
          <t>As a claim about concept-formation in history: Herbart-compatible, he could entertain it as hypothesis-about-development. As theology he would abstain. Conditional on staying descriptive.</t>
        </is>
      </c>
      <c r="D24" s="4" t="inlineStr">
        <is>
          <t>CONDITIONAL</t>
        </is>
      </c>
      <c r="E24" s="4" t="inlineStr"/>
      <c r="F24" s="4" t="inlineStr"/>
    </row>
    <row r="25">
      <c r="A25" s="4" t="n">
        <v>24</v>
      </c>
      <c r="B25" s="4" t="inlineStr">
        <is>
          <t>Civilizations collapse by mistaking the visible output for the OS</t>
        </is>
      </c>
      <c r="C25" s="4" t="inlineStr">
        <is>
          <t>Herbartian social-psychology reading he could entertain: representation-masses in conflict, the inner law lost to outer ranking. He would demand historical evidence discipline before assent.</t>
        </is>
      </c>
      <c r="D25" s="4" t="inlineStr">
        <is>
          <t>CONDITIONAL</t>
        </is>
      </c>
      <c r="E25" s="4" t="inlineStr"/>
      <c r="F25" s="4" t="inlineStr"/>
    </row>
    <row r="26">
      <c r="A26" s="4" t="n">
        <v>25</v>
      </c>
      <c r="B26" s="4" t="inlineStr">
        <is>
          <t>History's loop-interval is halving (700yr -&gt; 100yr); next turn datable</t>
        </is>
      </c>
      <c r="C26" s="4" t="inlineStr">
        <is>
          <t>He would ask for the data series, the counting rule, and the pre-registered test - and note that with loose era-boundaries you can fit any ratio. Without measurement: rejected as method, retained as hypothesis. (His own standard: experimental data, or it is not exploration.)</t>
        </is>
      </c>
      <c r="D26" s="4" t="inlineStr">
        <is>
          <t>DIFFERS</t>
        </is>
      </c>
      <c r="E26" s="4" t="inlineStr"/>
      <c r="F26" s="4" t="inlineStr"/>
    </row>
    <row r="27">
      <c r="A27" s="4" t="n">
        <v>26</v>
      </c>
      <c r="B27" s="4" t="inlineStr">
        <is>
          <t>Writing as intent's first body (the receipt before the poetry)</t>
        </is>
      </c>
      <c r="C27" s="4" t="inlineStr">
        <is>
          <t>Concept-formation from practical need, abstraction climbing afterward - straight down his and Herbart's line of concept-development. He agrees as developmental claim.</t>
        </is>
      </c>
      <c r="D27" s="4" t="inlineStr">
        <is>
          <t>AGREES</t>
        </is>
      </c>
      <c r="E27" s="4" t="inlineStr"/>
      <c r="F27" s="4" t="inlineStr"/>
    </row>
    <row r="28">
      <c r="A28" s="4" t="n">
        <v>27</v>
      </c>
      <c r="B28" s="4" t="inlineStr">
        <is>
          <t>The brain's 300,000 dark years = capacity waiting for its code</t>
        </is>
      </c>
      <c r="C28" s="4" t="inlineStr">
        <is>
          <t>Hardware-before-software he cannot assess (no data in his century) - but 'formed before expressed' is his Geistesmassen doctrine and his own biography (the program formed, the resources absent). Conditional as empirics, native as pattern.</t>
        </is>
      </c>
      <c r="D28" s="4" t="inlineStr">
        <is>
          <t>CONDITIONAL</t>
        </is>
      </c>
      <c r="E28" s="4" t="inlineStr"/>
      <c r="F28" s="4" t="inlineStr"/>
    </row>
    <row r="29">
      <c r="A29" s="4" t="n">
        <v>28</v>
      </c>
      <c r="B29" s="4" t="inlineStr">
        <is>
          <t>The Mahabharata war as pre-set sequence wearing a visible insult</t>
        </is>
      </c>
      <c r="C29" s="4" t="inlineStr">
        <is>
          <t>Outside his materials; he read Greek and Hebrew scripture, not Sanskrit epic. Method-note he WOULD give: treat it as he treated the ear - from the performance (the preserved text's structure) back to the mechanism (the composition's intent) - and never assert beyond the text.</t>
        </is>
      </c>
      <c r="D29" s="4" t="inlineStr">
        <is>
          <t>NO-VERDICT</t>
        </is>
      </c>
      <c r="E29" s="4" t="inlineStr"/>
      <c r="F29" s="4" t="inlineStr"/>
    </row>
    <row r="30">
      <c r="A30" s="9" t="n">
        <v>29</v>
      </c>
      <c r="B30" s="9" t="inlineStr">
        <is>
          <t>Krishna as the 1/2 - the actor who is his own mirror</t>
        </is>
      </c>
      <c r="C30" s="9" t="inlineStr">
        <is>
          <t>Same abstention, plus his own faith makes him a committed non-neutral reader of any scripture. He would DECLARE the bias before analyzing - and probably decline the analysis. MASK with his own religion.</t>
        </is>
      </c>
      <c r="D30" s="9" t="inlineStr">
        <is>
          <t>NO-VERDICT</t>
        </is>
      </c>
      <c r="E30" s="9" t="inlineStr">
        <is>
          <t>MASK</t>
        </is>
      </c>
      <c r="F30" s="9" t="inlineStr"/>
    </row>
    <row r="31">
      <c r="A31" s="4" t="n">
        <v>30</v>
      </c>
      <c r="B31" s="4" t="inlineStr">
        <is>
          <t>Scripture that keeps its own gap open (Draupadi's question unanswered) = honesty</t>
        </is>
      </c>
      <c r="C31" s="4" t="inlineStr">
        <is>
          <t>A text that preserves its undecidable point instead of resolving it falsely - this he practiced in print ('a rigorous proof would be desirable'). He signs the PRINCIPLE regardless of the scripture it is found in.</t>
        </is>
      </c>
      <c r="D31" s="4" t="inlineStr">
        <is>
          <t>AGREES</t>
        </is>
      </c>
      <c r="E31" s="4" t="inlineStr"/>
      <c r="F31" s="4" t="inlineStr"/>
    </row>
    <row r="32">
      <c r="A32" s="4" t="n">
        <v>31</v>
      </c>
      <c r="B32" s="4" t="inlineStr">
        <is>
          <t>The black hole as the right listener (understands whole, emits nothing)</t>
        </is>
      </c>
      <c r="C32" s="4" t="inlineStr">
        <is>
          <t>No black holes in 1866 - and he would resist the picture even translated: HIS ideal knower EMITS (teaches, publishes when ripe, repays honors with work). Total silence is not his virtue; RIPENESS-GATED emission is. The image differs from his practice.</t>
        </is>
      </c>
      <c r="D32" s="4" t="inlineStr">
        <is>
          <t>DIFFERS</t>
        </is>
      </c>
      <c r="E32" s="4" t="inlineStr"/>
      <c r="F32" s="4" t="inlineStr"/>
    </row>
    <row r="33">
      <c r="A33" s="4" t="n">
        <v>32</v>
      </c>
      <c r="B33" s="4" t="inlineStr">
        <is>
          <t>The unsaid energy: below-threshold masses still pressing</t>
        </is>
      </c>
      <c r="C33" s="4" t="inlineStr">
        <is>
          <t>Herbart's threshold doctrine - representations below consciousness persist and press - absorbed by him into the Geistesmassen frame ('nothing once formed perishes'). This is native to his psychology. He would ask for its LAW (the pressure-function), which is exactly the supplement he never wrote.</t>
        </is>
      </c>
      <c r="D33" s="4" t="inlineStr">
        <is>
          <t>AGREES</t>
        </is>
      </c>
      <c r="E33" s="4" t="inlineStr"/>
      <c r="F33" s="4" t="inlineStr"/>
    </row>
    <row r="34">
      <c r="A34" s="4" t="n">
        <v>33</v>
      </c>
      <c r="B34" s="4" t="inlineStr">
        <is>
          <t>An unfinished file as a held loop, not a broken thing</t>
        </is>
      </c>
      <c r="C34" s="4" t="inlineStr">
        <is>
          <t>His whole estate is this: the withdrawn paper, the fragments, the ear MS, the drawer - all continuable, all continued. He would add: KEEP THE FILES CLEAN so the continuer can enter (his were; Siegel entered).</t>
        </is>
      </c>
      <c r="D34" s="4" t="inlineStr">
        <is>
          <t>AGREES</t>
        </is>
      </c>
      <c r="E34" s="4" t="inlineStr"/>
      <c r="F34" s="4" t="inlineStr"/>
    </row>
    <row r="35">
      <c r="A35" s="4" t="n">
        <v>34</v>
      </c>
      <c r="B35" s="4" t="inlineStr">
        <is>
          <t>Silence as the primary channel; the marks as decoration</t>
        </is>
      </c>
      <c r="C35" s="4" t="inlineStr">
        <is>
          <t>His ear paper studies how sound is ANALYZED, not how silence speaks; his texts put the load in the WORDS, precisely chosen. Absence matters to him as the NAMED gap (stated missing proof), never as a superior channel. He would invert the item: make the silence speak by NAMING it.</t>
        </is>
      </c>
      <c r="D35" s="4" t="inlineStr">
        <is>
          <t>DIFFERS</t>
        </is>
      </c>
      <c r="E35" s="4" t="inlineStr"/>
      <c r="F35" s="4" t="inlineStr"/>
    </row>
    <row r="36">
      <c r="A36" s="4" t="n">
        <v>35</v>
      </c>
      <c r="B36" s="4" t="inlineStr">
        <is>
          <t>Wordless force halved: use the fuel, buffer the distortion</t>
        </is>
      </c>
      <c r="C36" s="4" t="inlineStr">
        <is>
          <t>Feelings as interacting representation-forces is Herbart's mechanics; regulation through work and practice is his life. The engineering framing (buffer) is modern; the mechanics underneath he would recognize.</t>
        </is>
      </c>
      <c r="D36" s="4" t="inlineStr">
        <is>
          <t>CONDITIONAL</t>
        </is>
      </c>
      <c r="E36" s="4" t="inlineStr"/>
      <c r="F36" s="4" t="inlineStr"/>
    </row>
    <row r="37">
      <c r="A37" s="4" t="n">
        <v>36</v>
      </c>
      <c r="B37" s="4" t="inlineStr">
        <is>
          <t>The follower = someone living off the line, never visiting Point Zero</t>
        </is>
      </c>
      <c r="C37" s="4" t="inlineStr">
        <is>
          <t>His pedagogy agrees in substance: he taught foundations, not recipes; his contempt-free version: most people USE geometry without ever asking what space is - the 1854 lecture exists because almost nobody visits the presupposed. He would state it without the class-judgment.</t>
        </is>
      </c>
      <c r="D37" s="4" t="inlineStr">
        <is>
          <t>CONDITIONAL</t>
        </is>
      </c>
      <c r="E37" s="4" t="inlineStr"/>
      <c r="F37" s="4" t="inlineStr"/>
    </row>
    <row r="38">
      <c r="A38" s="9" t="n">
        <v>37</v>
      </c>
      <c r="B38" s="9" t="inlineStr">
        <is>
          <t>A system cannot see its own face (witness necessity)</t>
        </is>
      </c>
      <c r="C38" s="9" t="inlineStr">
        <is>
          <t>FOR SPACE HE PROVED THE OPPOSITE: curvature is measurable FROM INSIDE the manifold - the deepest result of the 1854 lecture. Intrinsic self-measurement exists. For MINDS his practice supports the owner (he sought God as daily witness; his lectures needed hearers). SPLIT VERDICT -&gt; the space-half REJECTS the universal claim. MASK logged.</t>
        </is>
      </c>
      <c r="D38" s="9" t="inlineStr">
        <is>
          <t>REJECTS</t>
        </is>
      </c>
      <c r="E38" s="9" t="inlineStr">
        <is>
          <t>MASK</t>
        </is>
      </c>
      <c r="F38" s="9" t="inlineStr"/>
    </row>
    <row r="39">
      <c r="A39" s="4" t="n">
        <v>38</v>
      </c>
      <c r="B39" s="4" t="inlineStr">
        <is>
          <t>Point Zero = the unselected point before axes exist</t>
        </is>
      </c>
      <c r="C39" s="4" t="inlineStr">
        <is>
          <t>His own construction-order: manifold FIRST (bare extension, no measure), metric SECOND, chosen among possibilities, tested by experience. 'Before the axes' is literally the state his 1854 lecture begins in. Fullest agreement in the whole list.</t>
        </is>
      </c>
      <c r="D39" s="4" t="inlineStr">
        <is>
          <t>AGREES</t>
        </is>
      </c>
      <c r="E39" s="4" t="inlineStr"/>
      <c r="F39" s="4" t="inlineStr"/>
    </row>
    <row r="40">
      <c r="A40" s="4" t="n">
        <v>39</v>
      </c>
      <c r="B40" s="4" t="inlineStr">
        <is>
          <t>A life as an arch: zero to zero, the rise is the product</t>
        </is>
      </c>
      <c r="C40" s="4" t="inlineStr">
        <is>
          <t>He would classify: an IMAGE (Bild), not a law - moving, unfalsifiable, deriving nothing. He kept such images in private fragments and out of the published record. Admissible in the drawer, not in the results.</t>
        </is>
      </c>
      <c r="D40" s="4" t="inlineStr">
        <is>
          <t>DIFFERS</t>
        </is>
      </c>
      <c r="E40" s="4" t="inlineStr"/>
      <c r="F40" s="4" t="inlineStr"/>
    </row>
    <row r="41">
      <c r="A41" s="4" t="n">
        <v>40</v>
      </c>
      <c r="B41" s="4" t="inlineStr">
        <is>
          <t>Inner evidence capped at Medium, not killed</t>
        </is>
      </c>
      <c r="C41" s="4" t="inlineStr">
        <is>
          <t>His lived split: private computations ground public probability; private faith grounds conduct without entering the mathematics. Inner witness used, weighted, never inflated - the cap is his practice.</t>
        </is>
      </c>
      <c r="D41" s="4" t="inlineStr">
        <is>
          <t>AGREES</t>
        </is>
      </c>
      <c r="E41" s="4" t="inlineStr"/>
      <c r="F41" s="4" t="inlineStr"/>
    </row>
    <row r="42">
      <c r="A42" s="4" t="n">
        <v>41</v>
      </c>
      <c r="B42" s="4" t="inlineStr">
        <is>
          <t>Proof = reading the verdict you didn't want</t>
        </is>
      </c>
      <c r="C42" s="4" t="inlineStr">
        <is>
          <t>'Nach einigen fluechtigen vergeblichen Versuchen' - he prints his own failed attempts and the unproven status of his most famous sentence. Yes.</t>
        </is>
      </c>
      <c r="D42" s="4" t="inlineStr">
        <is>
          <t>AGREES</t>
        </is>
      </c>
      <c r="E42" s="4" t="inlineStr"/>
      <c r="F42" s="4" t="inlineStr"/>
    </row>
    <row r="43">
      <c r="A43" s="4" t="n">
        <v>42</v>
      </c>
      <c r="B43" s="4" t="inlineStr">
        <is>
          <t>An error that points (corrections as instruments)</t>
        </is>
      </c>
      <c r="C43" s="4" t="inlineStr">
        <is>
          <t>His unproven Dirichlet principle drew Weierstrass's strike, which drew Hilbert's repair - the gap organized fifty years of function theory. He would add: publish the gap HONESTLY and it becomes a research program; hide it and it becomes a scandal.</t>
        </is>
      </c>
      <c r="D43" s="4" t="inlineStr">
        <is>
          <t>AGREES</t>
        </is>
      </c>
      <c r="E43" s="4" t="inlineStr"/>
      <c r="F43" s="4" t="inlineStr"/>
    </row>
    <row r="44">
      <c r="A44" s="4" t="n">
        <v>43</v>
      </c>
      <c r="B44" s="4" t="inlineStr">
        <is>
          <t>The smallest thing carries the finding (one gap among 30,000)</t>
        </is>
      </c>
      <c r="C44" s="4" t="inlineStr">
        <is>
          <t>He built the 7/8 constant and the error terms - precision at the smallest scale is where his laws live. But one anomaly is one witness: he would hold it at 'watch', demand the pre-registered threshold be crossed, and refuse excitement until then. (Exactly where the census stands.)</t>
        </is>
      </c>
      <c r="D44" s="4" t="inlineStr">
        <is>
          <t>CONDITIONAL</t>
        </is>
      </c>
      <c r="E44" s="4" t="inlineStr"/>
      <c r="F44" s="4" t="inlineStr"/>
    </row>
    <row r="45">
      <c r="A45" s="4" t="n">
        <v>44</v>
      </c>
      <c r="B45" s="4" t="inlineStr">
        <is>
          <t>Sequence position = rank (earlier = closer to the ti = bigger)</t>
        </is>
      </c>
      <c r="C45" s="4" t="inlineStr">
        <is>
          <t>Herbart's series-forms give position meaning, and his own foundations-first instinct ranks the prior. But 'earlier = bigger' as a universal law he would test against counterexamples (later concepts often SUBSUME earlier ones - his manifold outranks its ancestors). Partial.</t>
        </is>
      </c>
      <c r="D45" s="4" t="inlineStr">
        <is>
          <t>CONDITIONAL</t>
        </is>
      </c>
      <c r="E45" s="4" t="inlineStr"/>
      <c r="F45" s="4" t="inlineStr"/>
    </row>
    <row r="46">
      <c r="A46" s="4" t="n">
        <v>45</v>
      </c>
      <c r="B46" s="4" t="inlineStr">
        <is>
          <t>Inventions enter the sequence at Expression (no ground to find)</t>
        </is>
      </c>
      <c r="C46" s="4" t="inlineStr">
        <is>
          <t>The manifold, the surface-sheets: constructed concepts with no pre-existing ground, entering as expressions and then tested. His entire method-signature. Yes.</t>
        </is>
      </c>
      <c r="D46" s="4" t="inlineStr">
        <is>
          <t>AGREES</t>
        </is>
      </c>
      <c r="E46" s="4" t="inlineStr"/>
      <c r="F46" s="4" t="inlineStr"/>
    </row>
    <row r="47">
      <c r="A47" s="4" t="inlineStr">
        <is>
          <t>-</t>
        </is>
      </c>
      <c r="B47" s="4" t="inlineStr">
        <is>
          <t>- NEW ITEMS FOUND IN THIS RE-RUN (owner ruling 2: 'once u re run numbers will add more') -</t>
        </is>
      </c>
      <c r="C47" s="4" t="inlineStr"/>
      <c r="D47" s="4" t="inlineStr"/>
      <c r="E47" s="4" t="inlineStr"/>
      <c r="F47" s="4" t="inlineStr"/>
    </row>
    <row r="48">
      <c r="A48" s="4" t="n">
        <v>46</v>
      </c>
      <c r="B48" s="4" t="inlineStr">
        <is>
          <t>'Vorlaeufig bei Seite gelassen' - the owner's halt-law exists verbatim-in-substance in Riemann's 1859 sentence</t>
        </is>
      </c>
      <c r="C48" s="4" t="inlineStr">
        <is>
          <t>Provisionally laid aside; dispensable for the immediate purpose; the walk continues. A halt that is named, dated, stored, and stepped past - printed in the most famous mathematics paper of the century.</t>
        </is>
      </c>
      <c r="D48" s="4" t="inlineStr">
        <is>
          <t>NEW</t>
        </is>
      </c>
      <c r="E48" s="4" t="inlineStr"/>
      <c r="F48" s="4" t="inlineStr">
        <is>
          <t>1859</t>
        </is>
      </c>
    </row>
    <row r="49">
      <c r="A49" s="4" t="n">
        <v>47</v>
      </c>
      <c r="B49" s="4" t="inlineStr">
        <is>
          <t>His LIFE has the used-half/kept-half structure</t>
        </is>
      </c>
      <c r="C49" s="4" t="inlineStr">
        <is>
          <t>Published fraction small (the visible Re); drawer vast (the kept half) - and the drawer kept producing after death (Siegel 1932, posthumous lecture-books). OUTCOME matches K's shape; INTENT does not (see item 19). The split between outcome-K and intent-K is itself a finding.</t>
        </is>
      </c>
      <c r="D49" s="4" t="inlineStr">
        <is>
          <t>NEW</t>
        </is>
      </c>
      <c r="E49" s="4" t="inlineStr"/>
      <c r="F49" s="4" t="inlineStr">
        <is>
          <t>Werke vs Nachlass</t>
        </is>
      </c>
    </row>
    <row r="50">
      <c r="A50" s="4" t="n">
        <v>48</v>
      </c>
      <c r="B50" s="4" t="inlineStr">
        <is>
          <t>The understatement code: his public words are a floor, not a ceiling</t>
        </is>
      </c>
      <c r="C50" s="4" t="inlineStr">
        <is>
          <t>'Perhaps not entirely unworthy' = the greatest under-claim in scientific literature. Any audit of him must DECODE politeness: stated confidence is systematically below held evidence (the inverse of the usual human failure class).</t>
        </is>
      </c>
      <c r="D50" s="4" t="inlineStr">
        <is>
          <t>NEW</t>
        </is>
      </c>
      <c r="E50" s="4" t="inlineStr"/>
      <c r="F50" s="4" t="inlineStr">
        <is>
          <t>1859 opening</t>
        </is>
      </c>
    </row>
    <row r="51">
      <c r="A51" s="4" t="n">
        <v>49</v>
      </c>
      <c r="B51" s="4" t="inlineStr">
        <is>
          <t>Deadline-rise: external constraint is his peak condition</t>
        </is>
      </c>
      <c r="C51" s="4" t="inlineStr">
        <is>
          <t>Gauss picks the least-prepared topic -&gt; the century's greatest lecture in weeks. The Berlin honor -&gt; the 8-page paper. Self-paced, he withholds; constrained, he delivers. A parameter the registry should carry (see NEW PARAM R-07).</t>
        </is>
      </c>
      <c r="D51" s="4" t="inlineStr">
        <is>
          <t>NEW</t>
        </is>
      </c>
      <c r="E51" s="4" t="inlineStr"/>
      <c r="F51" s="4" t="inlineStr">
        <is>
          <t>1854; 1859</t>
        </is>
      </c>
    </row>
    <row r="52">
      <c r="A52" s="4" t="n">
        <v>50</v>
      </c>
      <c r="B52" s="4" t="inlineStr">
        <is>
          <t>Transmission through OTHER people's kept files</t>
        </is>
      </c>
      <c r="C52" s="4" t="inlineStr">
        <is>
          <t>His courses became books via students' notebooks; his drawer became a formula via Siegel. His cognition was structured to survive him in other hands - the loop designed (or fated) to outlive the walker.</t>
        </is>
      </c>
      <c r="D52" s="4" t="inlineStr">
        <is>
          <t>NEW</t>
        </is>
      </c>
      <c r="E52" s="4" t="inlineStr"/>
      <c r="F52" s="4" t="inlineStr">
        <is>
          <t>posthumous editions</t>
        </is>
      </c>
    </row>
    <row r="53">
      <c r="A53" s="4" t="n">
        <v>51</v>
      </c>
      <c r="B53" s="4" t="inlineStr">
        <is>
          <t>The declared-intent audit WORKS on him - rare among humans</t>
        </is>
      </c>
      <c r="C53" s="4" t="inlineStr">
        <is>
          <t>Because his intents are WRITTEN before delivery (the openings), intent-vs-delivery can be measured work by work (sheet HIS WORDS FIRST). Proposal: this auditability is itself a measurable human parameter (R-03).</t>
        </is>
      </c>
      <c r="D53" s="4" t="inlineStr">
        <is>
          <t>NEW</t>
        </is>
      </c>
      <c r="E53" s="4" t="inlineStr"/>
      <c r="F53" s="4" t="inlineStr">
        <is>
          <t>HIS WORDS FIRST</t>
        </is>
      </c>
    </row>
    <row r="54">
      <c r="A54" s="4" t="n">
        <v>52</v>
      </c>
      <c r="B54" s="4" t="inlineStr">
        <is>
          <t>Two thresholds, one brain: content-boldness vs release-conservatism</t>
        </is>
      </c>
      <c r="C54" s="4" t="inlineStr">
        <is>
          <t>The same mind that demotes geometry's axioms will not release an electrodynamics paper. Decision-machinery is SPLIT by reversibility: thinking is two-way, publishing is one-way. The registry's single 'commitment threshold' is too coarse for him (R-01).</t>
        </is>
      </c>
      <c r="D54" s="4" t="inlineStr">
        <is>
          <t>NEW</t>
        </is>
      </c>
      <c r="E54" s="4" t="inlineStr"/>
      <c r="F54" s="4" t="inlineStr">
        <is>
          <t>record</t>
        </is>
      </c>
    </row>
    <row r="55">
      <c r="A55" s="4" t="n">
        <v>53</v>
      </c>
      <c r="B55" s="4" t="inlineStr">
        <is>
          <t>Grief precedes the peak</t>
        </is>
      </c>
      <c r="C55" s="4" t="inlineStr">
        <is>
          <t>The 1855-57 loss cluster immediately precedes 1857-1859, the strongest run of his life. In him, repair does not restore the prior level - it overshoots. Registry candidate: post-repair overshoot (R-11).</t>
        </is>
      </c>
      <c r="D55" s="4" t="inlineStr">
        <is>
          <t>NEW</t>
        </is>
      </c>
      <c r="E55" s="4" t="inlineStr"/>
      <c r="F55" s="4" t="inlineStr">
        <is>
          <t>record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66" customWidth="1" min="3" max="3"/>
    <col width="24" customWidth="1" min="4" max="4"/>
    <col width="26" customWidth="1" min="5" max="5"/>
    <col width="4" customWidth="1" min="6" max="6"/>
  </cols>
  <sheetData>
    <row r="1">
      <c r="A1" s="3" t="inlineStr">
        <is>
          <t>ID</t>
        </is>
      </c>
      <c r="B1" s="3" t="inlineStr">
        <is>
          <t>Candidate sub-parameter</t>
        </is>
      </c>
      <c r="C1" s="3" t="inlineStr">
        <is>
          <t>Definition and why the 2,560 lacks it</t>
        </is>
      </c>
      <c r="D1" s="3" t="inlineStr">
        <is>
          <t>Proposed home</t>
        </is>
      </c>
      <c r="E1" s="3" t="inlineStr">
        <is>
          <t>Evidence in him</t>
        </is>
      </c>
      <c r="F1" s="3" t="inlineStr">
        <is>
          <t>H</t>
        </is>
      </c>
    </row>
    <row r="2">
      <c r="A2" s="4" t="inlineStr">
        <is>
          <t>R-01</t>
        </is>
      </c>
      <c r="B2" s="4" t="inlineStr">
        <is>
          <t>Release-ripeness gate</t>
        </is>
      </c>
      <c r="C2" s="4" t="inlineStr">
        <is>
          <t>A threshold governing RELEASE of finished work, distinct from commitment-to-goal and from the operating chain's 'commitment threshold' (step 20). Riemann: iron commitment, extreme release-gate. The registry currently cannot represent a person who finishes and withholds.</t>
        </is>
      </c>
      <c r="D2" s="4" t="inlineStr">
        <is>
          <t>Segment 6 (Decision) or Segment 8 (Intent/Commitment)</t>
        </is>
      </c>
      <c r="E2" s="4" t="inlineStr">
        <is>
          <t>1858 withdrawal; the drawer</t>
        </is>
      </c>
      <c r="F2" s="4" t="inlineStr">
        <is>
          <t>H5</t>
        </is>
      </c>
    </row>
    <row r="3">
      <c r="A3" s="4" t="inlineStr">
        <is>
          <t>R-02</t>
        </is>
      </c>
      <c r="B3" s="4" t="inlineStr">
        <is>
          <t>Kept-file practice (external half-store)</t>
        </is>
      </c>
      <c r="C3" s="4" t="inlineStr">
        <is>
          <t>Deliberate or habitual maintenance of an unpublished store of formed work - external cognition that persists and can complete answers later, possibly in other hands.</t>
        </is>
      </c>
      <c r="D3" s="4" t="inlineStr">
        <is>
          <t>Segment 10, Container 80</t>
        </is>
      </c>
      <c r="E3" s="4" t="inlineStr">
        <is>
          <t>Nachlass -&gt; Siegel 1932</t>
        </is>
      </c>
      <c r="F3" s="4" t="inlineStr">
        <is>
          <t>H5</t>
        </is>
      </c>
    </row>
    <row r="4">
      <c r="A4" s="4" t="inlineStr">
        <is>
          <t>R-03</t>
        </is>
      </c>
      <c r="B4" s="4" t="inlineStr">
        <is>
          <t>Declared-intent auditability</t>
        </is>
      </c>
      <c r="C4" s="4" t="inlineStr">
        <is>
          <t>Degree to which a person states intent BEFORE work in verifiable form, enabling intent-vs-delivery measurement. Riemann: near-total (printed openings). Most humans: near-zero.</t>
        </is>
      </c>
      <c r="D4" s="4" t="inlineStr">
        <is>
          <t>Segment 8, Container 63</t>
        </is>
      </c>
      <c r="E4" s="4" t="inlineStr">
        <is>
          <t>the openings</t>
        </is>
      </c>
      <c r="F4" s="4" t="inlineStr">
        <is>
          <t>H6</t>
        </is>
      </c>
    </row>
    <row r="5">
      <c r="A5" s="4" t="inlineStr">
        <is>
          <t>R-04</t>
        </is>
      </c>
      <c r="B5" s="4" t="inlineStr">
        <is>
          <t>Provisional-halt register</t>
        </is>
      </c>
      <c r="C5" s="4" t="inlineStr">
        <is>
          <t>The habit of naming, dating and storing halts ('vorlaeufig') with return-intent - distinct from abandonment and from denial. Countable in a person's record.</t>
        </is>
      </c>
      <c r="D5" s="4" t="inlineStr">
        <is>
          <t>Segment 10, Container 77</t>
        </is>
      </c>
      <c r="E5" s="4" t="inlineStr">
        <is>
          <t>1859 halt sentence</t>
        </is>
      </c>
      <c r="F5" s="4" t="inlineStr">
        <is>
          <t>H6</t>
        </is>
      </c>
    </row>
    <row r="6">
      <c r="A6" s="4" t="inlineStr">
        <is>
          <t>R-05</t>
        </is>
      </c>
      <c r="B6" s="4" t="inlineStr">
        <is>
          <t>Successor-loop design</t>
        </is>
      </c>
      <c r="C6" s="4" t="inlineStr">
        <is>
          <t>Structuring work so its open loops are continuable by others (clean files, named gaps, stated methods). Measured by what others could complete posthumously.</t>
        </is>
      </c>
      <c r="D6" s="4" t="inlineStr">
        <is>
          <t>Segment 10, Container 79/80</t>
        </is>
      </c>
      <c r="E6" s="4" t="inlineStr">
        <is>
          <t>posthumous completions</t>
        </is>
      </c>
      <c r="F6" s="4" t="inlineStr">
        <is>
          <t>H5</t>
        </is>
      </c>
    </row>
    <row r="7">
      <c r="A7" s="4" t="inlineStr">
        <is>
          <t>R-06</t>
        </is>
      </c>
      <c r="B7" s="4" t="inlineStr">
        <is>
          <t>Understatement coefficient</t>
        </is>
      </c>
      <c r="C7" s="4" t="inlineStr">
        <is>
          <t>Systematic offset between stated confidence and held evidence, in the DOWNWARD direction (politeness/pietist code). The registry's confidence-error classes only cover overconfidence.</t>
        </is>
      </c>
      <c r="D7" s="4" t="inlineStr">
        <is>
          <t>Segment 6, Container 44</t>
        </is>
      </c>
      <c r="E7" s="4" t="inlineStr">
        <is>
          <t>'vielleicht nicht ganz unwerth'</t>
        </is>
      </c>
      <c r="F7" s="4" t="inlineStr">
        <is>
          <t>H5</t>
        </is>
      </c>
    </row>
    <row r="8">
      <c r="A8" s="4" t="inlineStr">
        <is>
          <t>R-07</t>
        </is>
      </c>
      <c r="B8" s="4" t="inlineStr">
        <is>
          <t>Constraint-rise coefficient</t>
        </is>
      </c>
      <c r="C8" s="4" t="inlineStr">
        <is>
          <t>Performance delta under externally imposed constraint vs self-paced conditions. Riemann: strongly positive (1854, 1859). Many humans: negative. A missing axis in Segment 4.</t>
        </is>
      </c>
      <c r="D8" s="4" t="inlineStr">
        <is>
          <t>Segment 4 (Executive) / Filter 28 Time</t>
        </is>
      </c>
      <c r="E8" s="4" t="inlineStr">
        <is>
          <t>habilitation; Berlin debt</t>
        </is>
      </c>
      <c r="F8" s="4" t="inlineStr">
        <is>
          <t>H3</t>
        </is>
      </c>
    </row>
    <row r="9">
      <c r="A9" s="4" t="inlineStr">
        <is>
          <t>R-08</t>
        </is>
      </c>
      <c r="B9" s="4" t="inlineStr">
        <is>
          <t>Duty-first resource routing</t>
        </is>
      </c>
      <c r="C9" s="4" t="inlineStr">
        <is>
          <t>Fixed priority of loyalty-obligations (family provision) over self-maintenance under scarcity - a stable override in the motive stack, visible in money flows.</t>
        </is>
      </c>
      <c r="D9" s="4" t="inlineStr">
        <is>
          <t>Segment 8, Container 64 / Filter 29</t>
        </is>
      </c>
      <c r="E9" s="4" t="inlineStr">
        <is>
          <t>stipend -&gt; sisters</t>
        </is>
      </c>
      <c r="F9" s="4" t="inlineStr">
        <is>
          <t>H3</t>
        </is>
      </c>
    </row>
    <row r="10">
      <c r="A10" s="4" t="inlineStr">
        <is>
          <t>R-09</t>
        </is>
      </c>
      <c r="B10" s="4" t="inlineStr">
        <is>
          <t>Presupposition-salience</t>
        </is>
      </c>
      <c r="C10" s="4" t="inlineStr">
        <is>
          <t>Attention captured specifically by what a field treats as GIVEN. The rarest and most consequential of his attention settings; the registry's novelty/salience sub-parameters do not cover 'the background becomes the figure'.</t>
        </is>
      </c>
      <c r="D10" s="4" t="inlineStr">
        <is>
          <t>Segment 2, Container 14</t>
        </is>
      </c>
      <c r="E10" s="4" t="inlineStr">
        <is>
          <t>1854 opening</t>
        </is>
      </c>
      <c r="F10" s="4" t="inlineStr">
        <is>
          <t>H5</t>
        </is>
      </c>
    </row>
    <row r="11">
      <c r="A11" s="4" t="inlineStr">
        <is>
          <t>R-10</t>
        </is>
      </c>
      <c r="B11" s="4" t="inlineStr">
        <is>
          <t>Private-ambition mask</t>
        </is>
      </c>
      <c r="C11" s="4" t="inlineStr">
        <is>
          <t>A stable split between public self-presentation (modest) and private program (vast), maintained without deception in content - the ambition is simply never SAID. Distinct from the registry's deception/masking classes, which assume concealment of something illegitimate.</t>
        </is>
      </c>
      <c r="D11" s="4" t="inlineStr">
        <is>
          <t>Segment 9, Container 66 / the Mask</t>
        </is>
      </c>
      <c r="E11" s="4" t="inlineStr">
        <is>
          <t>Hauptarbeit fragment vs 1859 opening</t>
        </is>
      </c>
      <c r="F11" s="4" t="inlineStr">
        <is>
          <t>H5</t>
        </is>
      </c>
    </row>
    <row r="12">
      <c r="A12" s="4" t="inlineStr">
        <is>
          <t>R-11</t>
        </is>
      </c>
      <c r="B12" s="4" t="inlineStr">
        <is>
          <t>Post-repair overshoot</t>
        </is>
      </c>
      <c r="C12" s="4" t="inlineStr">
        <is>
          <t>Recovery from grief/collapse that lands ABOVE the prior performance level, not at it. The repair stack (nature, people, home) as a springboard, not a patch.</t>
        </is>
      </c>
      <c r="D12" s="4" t="inlineStr">
        <is>
          <t>Segment 10, Container 77</t>
        </is>
      </c>
      <c r="E12" s="4" t="inlineStr">
        <is>
          <t>1855-57 -&gt; 1857-59</t>
        </is>
      </c>
      <c r="F12" s="4" t="inlineStr">
        <is>
          <t>H2</t>
        </is>
      </c>
    </row>
    <row r="13">
      <c r="A13" s="4" t="inlineStr">
        <is>
          <t>NOTE</t>
        </is>
      </c>
      <c r="B13" s="4" t="inlineStr">
        <is>
          <t>Numbering</t>
        </is>
      </c>
      <c r="C13" s="4" t="inlineStr">
        <is>
          <t>These are proposed as R-numbers, NOT as 2561+ - the owner's own corpus already assigned 2561-2590 in the King-brain runs (Baghdad/Dendera/Khufu additions). Assigning registry numbers is the owner's call. See HALT-GAP H-3.</t>
        </is>
      </c>
      <c r="D13" s="4" t="inlineStr">
        <is>
          <t>-</t>
        </is>
      </c>
      <c r="E13" s="4" t="inlineStr">
        <is>
          <t>-</t>
        </is>
      </c>
      <c r="F13" s="4"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4" customWidth="1" min="3" max="3"/>
    <col width="40" customWidth="1" min="4" max="4"/>
  </cols>
  <sheetData>
    <row r="1">
      <c r="A1" s="3" t="inlineStr">
        <is>
          <t>#</t>
        </is>
      </c>
      <c r="B1" s="3" t="inlineStr">
        <is>
          <t>The halt / gap</t>
        </is>
      </c>
      <c r="C1" s="3" t="inlineStr">
        <is>
          <t>What stands on each side</t>
        </is>
      </c>
      <c r="D1" s="3" t="inlineStr">
        <is>
          <t>The decision that is yours</t>
        </is>
      </c>
    </row>
    <row r="2">
      <c r="A2" s="4" t="inlineStr">
        <is>
          <t>H-1</t>
        </is>
      </c>
      <c r="B2" s="4" t="inlineStr">
        <is>
          <t>Why did he withdraw the 1858 electrodynamics paper?</t>
        </is>
      </c>
      <c r="C2" s="4" t="inlineStr">
        <is>
          <t>No self-witness exists. External speculation exists but your ruling 4 excludes it. Options: log as permanent H0, or admit external witnesses tagged and capped for THIS one row.</t>
        </is>
      </c>
      <c r="D2" s="4" t="inlineStr">
        <is>
          <t>YOURS: how to log an unwitnessed reason.</t>
        </is>
      </c>
    </row>
    <row r="3">
      <c r="A3" s="4" t="inlineStr">
        <is>
          <t>H-2</t>
        </is>
      </c>
      <c r="B3" s="4" t="inlineStr">
        <is>
          <t>The faith rows (items 21, 22, 29)</t>
        </is>
      </c>
      <c r="C3" s="4" t="inlineStr">
        <is>
          <t>His piety refuses instrumentalizing God; his tombstone verse and his connection-program resonate with it. Two witnesses inside the same man differ. I marked REJECTS per his refusal - but the resonance is real and recorded.</t>
        </is>
      </c>
      <c r="D3" s="4" t="inlineStr">
        <is>
          <t>YOURS: does the platform treat a subject's own sacred-refusal as final, or as one witness?</t>
        </is>
      </c>
    </row>
    <row r="4">
      <c r="A4" s="4" t="inlineStr">
        <is>
          <t>H-3</t>
        </is>
      </c>
      <c r="B4" s="4" t="inlineStr">
        <is>
          <t>Numbering of the new candidates</t>
        </is>
      </c>
      <c r="C4" s="4" t="inlineStr">
        <is>
          <t>R-01..R-11 proposed; your corpus already used 2561-2590 elsewhere. Collision risk if I assign registry numbers.</t>
        </is>
      </c>
      <c r="D4" s="4" t="inlineStr">
        <is>
          <t>YOURS: assign numbers or keep R-prefix.</t>
        </is>
      </c>
    </row>
    <row r="5">
      <c r="A5" s="4" t="inlineStr">
        <is>
          <t>H-4</t>
        </is>
      </c>
      <c r="B5" s="4" t="inlineStr">
        <is>
          <t>Containers with no self-witness (3, 5, 11, 12, 19, 21, 49, 55 + others at H0/H1)</t>
        </is>
      </c>
      <c r="C5" s="4" t="inlineStr">
        <is>
          <t>Micro work on these needs sources that may not exist in his own words. Your ruling 4 excludes others' memoirs; his letters survive mainly inside Dedekind's biography (carrier).</t>
        </is>
      </c>
      <c r="D5" s="4" t="inlineStr">
        <is>
          <t>YOURS: confirm the (carrier) rule - his words inside another's book admitted, capped H3 - or strike those rows.</t>
        </is>
      </c>
    </row>
    <row r="6">
      <c r="A6" s="4" t="inlineStr">
        <is>
          <t>H-5</t>
        </is>
      </c>
      <c r="B6" s="4" t="inlineStr">
        <is>
          <t>The split verdict on item 37 (witness necessity)</t>
        </is>
      </c>
      <c r="C6" s="4" t="inlineStr">
        <is>
          <t>His geometry PROVES intrinsic self-measurement for space; his life practices external witness for mind. The universal claim fails; the mind-claim stands. Logged as REJECTS with MASK.</t>
        </is>
      </c>
      <c r="D6" s="4" t="inlineStr">
        <is>
          <t>YOURS: rule whether the law is scoped to minds only.</t>
        </is>
      </c>
    </row>
    <row r="7">
      <c r="A7" s="4" t="inlineStr">
        <is>
          <t>H-6</t>
        </is>
      </c>
      <c r="B7" s="4" t="inlineStr">
        <is>
          <t>Verdict distribution check (anti-pleasing)</t>
        </is>
      </c>
      <c r="C7" s="4" t="inlineStr">
        <is>
          <t>AGREES 15 / CONDITIONAL 13 / DIFFERS 10 / REJECTS 3 / NO-VERDICT 4. Disagreement mass = 17 of 45. If you judge this still too agreeable, name the rows and I re-read harder.</t>
        </is>
      </c>
      <c r="D7" s="4" t="inlineStr">
        <is>
          <t>YOURS: accept the tally or strike rows.</t>
        </is>
      </c>
    </row>
    <row r="8">
      <c r="A8" s="4" t="inlineStr">
        <is>
          <t>H-7</t>
        </is>
      </c>
      <c r="B8" s="4" t="inlineStr">
        <is>
          <t>One structural honesty note</t>
        </is>
      </c>
      <c r="C8" s="4" t="inlineStr">
        <is>
          <t>This whole workbook reads a man from his remains. He himself would stamp it: hypothesis, to be tested by consequences - and would demand the same two-witness discipline on every row that I demand of him. Rows resting on one carrier are capped and say so.</t>
        </is>
      </c>
      <c r="D8" s="4" t="inlineStr">
        <is>
          <t>YOURS: the standing you give the whole instrument.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2026-08-03T12:18:10Z</dcterms:created>
  <dcterms:modified xmlns:dcterms="http://purl.org/dc/terms/" xmlns:xsi="http://www.w3.org/2001/XMLSchema-instance" xsi:type="dcterms:W3CDTF">2026-08-03T12:28:33Z</dcterms:modified>
</cp:coreProperties>
</file>